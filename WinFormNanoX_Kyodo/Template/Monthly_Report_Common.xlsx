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Program Files\ATPro\ATSCADA\Reports\"/>
    </mc:Choice>
  </mc:AlternateContent>
  <xr:revisionPtr revIDLastSave="0" documentId="13_ncr:1_{92DBEFC5-C98F-4B12-8508-A60B65B58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hly rawdata" sheetId="1" r:id="rId1"/>
    <sheet name="Graph 1" sheetId="3" r:id="rId2"/>
    <sheet name="Graph 2" sheetId="5" r:id="rId3"/>
  </sheets>
  <definedNames>
    <definedName name="_xlnm.Print_Area" localSheetId="1">'Graph 1'!$A$1:$N$33</definedName>
    <definedName name="_xlnm.Print_Area" localSheetId="2">'Graph 2'!$A$1:$N$33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<sst xmlns="http://schemas.openxmlformats.org/spreadsheetml/2006/main" count="77" uniqueCount="77">
  <si>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ENERGY - SOLAR</t>
  </si>
  <si>
    <t>ENERGY GRID</t>
  </si>
  <si>
    <t>CO2 reduction</t>
  </si>
  <si>
    <t>POWER</t>
  </si>
  <si>
    <t>METEOROLOGICAL</t>
  </si>
  <si>
    <t>CO2 coeffient</t>
  </si>
  <si>
    <t>Normal hour rate</t>
  </si>
  <si>
    <t>Peak hour rate</t>
  </si>
  <si>
    <t>GRAPH</t>
  </si>
  <si>
    <t>Active energy</t>
  </si>
  <si>
    <t>Reactive energy</t>
  </si>
  <si>
    <t>Cosphi</t>
  </si>
  <si>
    <t>Date</t>
  </si>
  <si>
    <t>Daily energy</t>
  </si>
  <si>
    <t>Maximum estimate energy</t>
  </si>
  <si>
    <t>Daily energy (Normal hour)</t>
  </si>
  <si>
    <t>Daily energy (Peak hour)</t>
  </si>
  <si>
    <t>Monthly cumulative energy</t>
  </si>
  <si>
    <t>Life time cumulative energy</t>
  </si>
  <si>
    <t>Daily ReActive Energy</t>
  </si>
  <si>
    <t>Monthly cumulative Energy</t>
  </si>
  <si>
    <t>Daily active Energy</t>
  </si>
  <si>
    <t>Monthly Cumulative energy</t>
  </si>
  <si>
    <t>Daily Energy</t>
  </si>
  <si>
    <t xml:space="preserve">Monthly  Energy</t>
  </si>
  <si>
    <t>Daily CO2 emission reduction</t>
  </si>
  <si>
    <t>Monthly cumulative reduction</t>
  </si>
  <si>
    <t>Cumulative reduction from COD</t>
  </si>
  <si>
    <t>Daily Peak power</t>
  </si>
  <si>
    <t>Daily Average PV temperature</t>
  </si>
  <si>
    <t>Daily Average Ambient Temperature</t>
  </si>
  <si>
    <t>Daily Irradiance-1</t>
  </si>
  <si>
    <t>Monthly cumulative irradiance</t>
  </si>
  <si>
    <t>Money Savings</t>
  </si>
  <si>
    <t>Load Energy</t>
  </si>
  <si>
    <t>(kWh)</t>
  </si>
  <si>
    <t>kVar</t>
  </si>
  <si>
    <t>(tons)</t>
  </si>
  <si>
    <t>(kW)</t>
  </si>
  <si>
    <t>(C)</t>
  </si>
  <si>
    <t>(kWh/m2)</t>
  </si>
  <si>
    <t>(mVND)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</si>
  <si>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</si>
  <si>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</si>
  <si>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</si>
  <si>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</si>
  <si>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</si>
  <si>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</si>
  <si>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</si>
  <si>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</si>
  <si>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</si>
  <si>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</si>
  <si>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</si>
  <si>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</si>
  <si>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</si>
  <si>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</si>
  <si>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</si>
  <si>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</si>
  <si>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</si>
  <si>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</si>
  <si>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</si>
  <si>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</si>
  <si>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</si>
  <si>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</si>
  <si>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</si>
  <si>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</si>
  <si>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</si>
  <si>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</si>
  <si>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</si>
  <si>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</si>
  <si>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</si>
  <si>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</si>
  <si>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 xml:space="preserve">MONTHLY SVL TOTAL SOLAR ENERGY AND MONEY SAVINGS </t>
  </si>
  <si>
    <t>Total solar energy:</t>
  </si>
  <si>
    <t>Total money savings:</t>
  </si>
  <si>
    <t>MONTHLY SVl TOTAL SOLAR ENERGY AND CO2 EMISSION REDUCTION</t>
  </si>
  <si>
    <t>Total CO2 emission reduction: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</si>
</sst>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00\ &quot;kWh&quot;"/>
    <numFmt numFmtId="165" formatCode="#,#00\ &quot;mVND&quot;"/>
    <numFmt numFmtId="166" formatCode="#,#00\ &quot;Tons&quot;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Protection="1"/>
    <xf numFmtId="0" fontId="1" applyFont="1" fillId="10" applyFill="1" borderId="0" applyProtection="1"/>
    <xf numFmtId="0" fontId="1" applyFont="1" fillId="14" applyFill="1" borderId="0" applyProtection="1"/>
    <xf numFmtId="0" fontId="1" applyFont="1" fillId="18" applyFill="1" borderId="0" applyProtection="1"/>
    <xf numFmtId="0" fontId="1" applyFont="1" fillId="22" applyFill="1" borderId="0" applyProtection="1"/>
    <xf numFmtId="0" fontId="1" applyFont="1" fillId="26" applyFill="1" borderId="0" applyProtection="1"/>
    <xf numFmtId="0" fontId="1" applyFont="1" fillId="30" applyFill="1" borderId="0" applyProtection="1"/>
    <xf numFmtId="0" fontId="1" applyFont="1" fillId="11" applyFill="1" borderId="0" applyProtection="1"/>
    <xf numFmtId="0" fontId="1" applyFont="1" fillId="15" applyFill="1" borderId="0" applyProtection="1"/>
    <xf numFmtId="0" fontId="1" applyFont="1" fillId="19" applyFill="1" borderId="0" applyProtection="1"/>
    <xf numFmtId="0" fontId="1" applyFont="1" fillId="23" applyFill="1" borderId="0" applyProtection="1"/>
    <xf numFmtId="0" fontId="1" applyFont="1" fillId="27" applyFill="1" borderId="0" applyProtection="1"/>
    <xf numFmtId="0" fontId="1" applyFont="1" fillId="31" applyFill="1" borderId="0" applyProtection="1"/>
    <xf numFmtId="0" fontId="17" applyFont="1" fillId="12" applyFill="1" borderId="0" applyProtection="1"/>
    <xf numFmtId="0" fontId="17" applyFont="1" fillId="16" applyFill="1" borderId="0" applyProtection="1"/>
    <xf numFmtId="0" fontId="17" applyFont="1" fillId="20" applyFill="1" borderId="0" applyProtection="1"/>
    <xf numFmtId="0" fontId="17" applyFont="1" fillId="24" applyFill="1" borderId="0" applyProtection="1"/>
    <xf numFmtId="0" fontId="17" applyFont="1" fillId="28" applyFill="1" borderId="0" applyProtection="1"/>
    <xf numFmtId="0" fontId="17" applyFont="1" fillId="32" applyFill="1" borderId="0" applyProtection="1"/>
    <xf numFmtId="0" fontId="17" applyFont="1" fillId="9" applyFill="1" borderId="0" applyProtection="1"/>
    <xf numFmtId="0" fontId="17" applyFont="1" fillId="13" applyFill="1" borderId="0" applyProtection="1"/>
    <xf numFmtId="0" fontId="17" applyFont="1" fillId="17" applyFill="1" borderId="0" applyProtection="1"/>
    <xf numFmtId="0" fontId="17" applyFont="1" fillId="21" applyFill="1" borderId="0" applyProtection="1"/>
    <xf numFmtId="0" fontId="17" applyFont="1" fillId="25" applyFill="1" borderId="0" applyProtection="1"/>
    <xf numFmtId="0" fontId="17" applyFont="1" fillId="29" applyFill="1" borderId="0" applyProtection="1"/>
    <xf numFmtId="0" fontId="7" applyFont="1" fillId="3" applyFill="1" borderId="0" applyProtection="1"/>
    <xf numFmtId="0" fontId="11" applyFont="1" fillId="6" applyFill="1" borderId="4" applyBorder="1" applyProtection="1"/>
    <xf numFmtId="0" fontId="13" applyFont="1" fillId="7" applyFill="1" borderId="7" applyBorder="1" applyProtection="1"/>
    <xf numFmtId="0" fontId="15" applyFont="1" fillId="0" borderId="0" applyProtection="1"/>
    <xf numFmtId="0" fontId="6" applyFont="1" fillId="2" applyFill="1" borderId="0" applyProtection="1"/>
    <xf numFmtId="0" fontId="3" applyFont="1" fillId="0" borderId="1" applyBorder="1" applyProtection="1"/>
    <xf numFmtId="0" fontId="4" applyFont="1" fillId="0" borderId="2" applyBorder="1" applyProtection="1"/>
    <xf numFmtId="0" fontId="5" applyFont="1" fillId="0" borderId="3" applyBorder="1" applyProtection="1"/>
    <xf numFmtId="0" fontId="5" applyFont="1" fillId="0" borderId="0" applyProtection="1"/>
    <xf numFmtId="0" fontId="9" applyFont="1" fillId="5" applyFill="1" borderId="4" applyBorder="1" applyProtection="1"/>
    <xf numFmtId="0" fontId="12" applyFont="1" fillId="0" borderId="6" applyBorder="1" applyProtection="1"/>
    <xf numFmtId="0" fontId="8" applyFont="1" fillId="4" applyFill="1" borderId="0" applyProtection="1"/>
    <xf numFmtId="0" fontId="1" applyFont="1" fillId="8" applyFill="1" borderId="8" applyBorder="1" applyProtection="1"/>
    <xf numFmtId="0" fontId="10" applyFont="1" fillId="6" applyFill="1" borderId="5" applyBorder="1" applyProtection="1"/>
    <xf numFmtId="0" fontId="2" applyFont="1" fillId="0" borderId="0" applyProtection="1"/>
    <xf numFmtId="0" fontId="16" applyFont="1" fillId="0" borderId="9" applyBorder="1" applyProtection="1"/>
    <xf numFmtId="0" fontId="14" applyFont="1" fillId="0" borderId="0" applyProtection="1"/>
  </cellStyleXfs>
  <cellXfs count="28">
    <xf numFmtId="0" fontId="0" fillId="0" borderId="0" xfId="0" applyProtection="1"/>
    <xf numFmtId="22" applyNumberFormat="1" fontId="0" fillId="0" borderId="0" xfId="0" applyProtection="1"/>
    <xf numFmtId="0" fontId="0" fillId="0" borderId="0" xfId="0" applyProtection="1" applyAlignment="1">
      <alignment horizontal="center"/>
    </xf>
    <xf numFmtId="2" applyNumberFormat="1" fontId="0" fillId="0" borderId="0" xfId="0" applyProtection="1"/>
    <xf numFmtId="0" fontId="16" applyFont="1" fillId="0" borderId="0" xfId="0" applyProtection="1"/>
    <xf numFmtId="0" fontId="20" applyFont="1" fillId="0" borderId="0" xfId="0" applyProtection="1"/>
    <xf numFmtId="164" applyNumberFormat="1" fontId="18" applyFont="1" fillId="0" borderId="0" xfId="0" applyProtection="1"/>
    <xf numFmtId="165" applyNumberFormat="1" fontId="18" applyFont="1" fillId="0" borderId="0" xfId="0" applyProtection="1" applyAlignment="1">
      <alignment vertical="center"/>
    </xf>
    <xf numFmtId="0" fontId="0" fillId="0" borderId="0" xfId="0" applyProtection="1" applyAlignment="1">
      <alignment vertical="center"/>
    </xf>
    <xf numFmtId="0" fontId="0" fillId="0" borderId="0" xfId="0" applyProtection="1" applyAlignment="1">
      <alignment horizontal="center" vertical="center"/>
    </xf>
    <xf numFmtId="0" fontId="0" fillId="0" borderId="0" xfId="0" applyProtection="1" applyAlignment="1">
      <alignment vertical="center" wrapText="1"/>
    </xf>
    <xf numFmtId="0" fontId="0" fillId="33" applyFill="1" borderId="0" xfId="0" applyProtection="1" applyAlignment="1">
      <alignment horizontal="center"/>
    </xf>
    <xf numFmtId="22" applyNumberFormat="1" fontId="0" fillId="38" applyFill="1" borderId="0" xfId="0" applyProtection="1"/>
    <xf numFmtId="2" applyNumberFormat="1" fontId="0" fillId="38" applyFill="1" borderId="0" xfId="0" applyProtection="1"/>
    <xf numFmtId="0" fontId="0" fillId="38" applyFill="1" borderId="0" xfId="0" applyProtection="1"/>
    <xf numFmtId="0" fontId="14" applyFont="1" fillId="36" applyFill="1" borderId="0" xfId="0" applyProtection="1" applyAlignment="1">
      <alignment horizontal="center"/>
    </xf>
    <xf numFmtId="0" fontId="0" fillId="35" applyFill="1" borderId="0" xfId="0" applyProtection="1" applyAlignment="1">
      <alignment horizontal="center"/>
    </xf>
    <xf numFmtId="0" fontId="16" applyFont="1" fillId="38" applyFill="1" borderId="0" xfId="0" applyProtection="1" applyAlignment="1">
      <alignment horizontal="center"/>
    </xf>
    <xf numFmtId="0" fontId="16" applyFont="1" fillId="35" applyFill="1" borderId="0" xfId="0" applyProtection="1" applyAlignment="1">
      <alignment horizontal="center"/>
    </xf>
    <xf numFmtId="0" fontId="14" applyFont="1" fillId="36" applyFill="1" borderId="0" xfId="0" applyProtection="1" applyAlignment="1">
      <alignment horizontal="center"/>
    </xf>
    <xf numFmtId="0" fontId="0" fillId="35" applyFill="1" borderId="0" xfId="0" applyProtection="1" applyAlignment="1">
      <alignment horizontal="center"/>
    </xf>
    <xf numFmtId="0" fontId="16" applyFont="1" fillId="34" applyFill="1" borderId="0" xfId="0" applyProtection="1" applyAlignment="1">
      <alignment horizontal="center"/>
    </xf>
    <xf numFmtId="0" fontId="16" applyFont="1" fillId="35" applyFill="1" borderId="0" xfId="0" applyProtection="1" applyAlignment="1">
      <alignment horizontal="center"/>
    </xf>
    <xf numFmtId="0" fontId="16" applyFont="1" fillId="37" applyFill="1" borderId="0" xfId="0" applyProtection="1" applyAlignment="1">
      <alignment horizontal="center"/>
    </xf>
    <xf numFmtId="0" fontId="16" applyFont="1" fillId="39" applyFill="1" borderId="0" xfId="0" applyProtection="1" applyAlignment="1">
      <alignment horizontal="center"/>
    </xf>
    <xf numFmtId="0" fontId="19" applyFont="1" fillId="0" borderId="0" xfId="0" applyProtection="1" applyAlignment="1">
      <alignment horizontal="center" vertical="center"/>
    </xf>
    <xf numFmtId="166" applyNumberFormat="1" fontId="18" applyFont="1" fillId="0" borderId="0" xfId="0" applyProtection="1" applyAlignment="1">
      <alignment horizontal="right"/>
    </xf>
    <xf numFmtId="164" applyNumberFormat="1" fontId="18" applyFont="1" fillId="0" borderId="0" xfId="0" applyProtection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81776253124312E-2"/>
          <c:y val="3.2535908761552899E-2"/>
          <c:w val="0.84353173822686789"/>
          <c:h val="0.84511885235743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rawdata'!$B$1:$B$4</c:f>
              <c:strCache>
                <c:ptCount val="4"/>
                <c:pt idx="0">
                  <c:v>ENERGY - SOLAR</c:v>
                </c:pt>
                <c:pt idx="1">
                  <c:v>Active energy</c:v>
                </c:pt>
                <c:pt idx="2">
                  <c:v>Daily energy</c:v>
                </c:pt>
                <c:pt idx="3">
                  <c:v>(kWh)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rawdata'!$AC$5:$AC$35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0-45AC-8D55-A1652B8FD3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1755181232"/>
        <c:axId val="1766944480"/>
      </c:barChart>
      <c:lineChart>
        <c:grouping val="standard"/>
        <c:varyColors val="0"/>
        <c:ser>
          <c:idx val="1"/>
          <c:order val="1"/>
          <c:tx>
            <c:strRef>
              <c:f>'Monthly rawdata'!$X$3:$X$4</c:f>
              <c:strCache>
                <c:ptCount val="2"/>
                <c:pt idx="0">
                  <c:v>Money Savings</c:v>
                </c:pt>
                <c:pt idx="1">
                  <c:v>(mVND)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rgbClr val="FFC000">
                  <a:alpha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rawdata'!$AD$5:$AD$35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0-45AC-8D55-A1652B8FD3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9160080"/>
        <c:axId val="1766927120"/>
      </c:lineChart>
      <c:catAx>
        <c:axId val="175518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44480"/>
        <c:crosses val="autoZero"/>
        <c:auto val="1"/>
        <c:lblAlgn val="ctr"/>
        <c:lblOffset val="100"/>
        <c:noMultiLvlLbl val="0"/>
      </c:catAx>
      <c:valAx>
        <c:axId val="17669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b="1"/>
                  <a:t>kWh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81232"/>
        <c:crosses val="autoZero"/>
        <c:crossBetween val="between"/>
      </c:valAx>
      <c:valAx>
        <c:axId val="17669271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b="1"/>
                  <a:t>mVND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60080"/>
        <c:crosses val="max"/>
        <c:crossBetween val="between"/>
      </c:valAx>
      <c:catAx>
        <c:axId val="1679160080"/>
        <c:scaling>
          <c:orientation val="minMax"/>
        </c:scaling>
        <c:delete val="1"/>
        <c:axPos val="b"/>
        <c:majorTickMark val="out"/>
        <c:minorTickMark val="none"/>
        <c:tickLblPos val="nextTo"/>
        <c:crossAx val="1766927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8179438612354E-2"/>
          <c:y val="1.6220459155729339E-2"/>
          <c:w val="0.84353173822686789"/>
          <c:h val="0.84511885235743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rawdata'!$B$1:$B$4</c:f>
              <c:strCache>
                <c:ptCount val="4"/>
                <c:pt idx="0">
                  <c:v>ENERGY - SOLAR</c:v>
                </c:pt>
                <c:pt idx="1">
                  <c:v>Active energy</c:v>
                </c:pt>
                <c:pt idx="2">
                  <c:v>Daily energy</c:v>
                </c:pt>
                <c:pt idx="3">
                  <c:v>(kWh)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rawdata'!$AC$5:$AC$35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4-407C-899E-7B36E893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755181232"/>
        <c:axId val="1766944480"/>
      </c:barChart>
      <c:lineChart>
        <c:grouping val="standard"/>
        <c:varyColors val="0"/>
        <c:ser>
          <c:idx val="1"/>
          <c:order val="1"/>
          <c:tx>
            <c:strRef>
              <c:f>'Monthly rawdata'!$P$3:$P$4</c:f>
              <c:strCache>
                <c:ptCount val="2"/>
                <c:pt idx="0">
                  <c:v>Daily CO2 emission reduction</c:v>
                </c:pt>
                <c:pt idx="1">
                  <c:v>(tons)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rgbClr val="00B0F0">
                  <a:alpha val="2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rawdata'!$AE$5:$AE$35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4-407C-899E-7B36E893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518000"/>
        <c:axId val="129301056"/>
      </c:lineChart>
      <c:catAx>
        <c:axId val="175518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44480"/>
        <c:crosses val="autoZero"/>
        <c:auto val="1"/>
        <c:lblAlgn val="ctr"/>
        <c:lblOffset val="100"/>
        <c:noMultiLvlLbl val="0"/>
      </c:catAx>
      <c:valAx>
        <c:axId val="17669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kWh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81232"/>
        <c:crosses val="autoZero"/>
        <c:crossBetween val="between"/>
      </c:valAx>
      <c:valAx>
        <c:axId val="129301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b="1"/>
                  <a:t>Tons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18000"/>
        <c:crosses val="max"/>
        <c:crossBetween val="between"/>
      </c:valAx>
      <c:catAx>
        <c:axId val="679518000"/>
        <c:scaling>
          <c:orientation val="minMax"/>
        </c:scaling>
        <c:delete val="1"/>
        <c:axPos val="b"/>
        <c:majorTickMark val="out"/>
        <c:minorTickMark val="none"/>
        <c:tickLblPos val="nextTo"/>
        <c:crossAx val="129301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13</xdr:col>
      <xdr:colOff>554935</xdr:colOff>
      <xdr:row>31</xdr:row>
      <xdr:rowOff>140804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E44D37-8FA2-414C-AC04-FD57BFCC4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13</xdr:col>
      <xdr:colOff>561975</xdr:colOff>
      <xdr:row>31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881FA6-B8EB-4241-9734-06044A9ED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tabSelected="1" zoomScale="90" zoomScaleNormal="90" workbookViewId="0">
      <selection activeCell="D10" sqref="D10"/>
    </sheetView>
  </sheetViews>
  <sheetFormatPr defaultRowHeight="15" x14ac:dyDescent="0.25"/>
  <cols>
    <col min="1" max="1" width="10.7694673538208" customWidth="1"/>
    <col min="2" max="2" width="11.541880607605" customWidth="1"/>
    <col min="3" max="3" width="24.2831382751465" customWidth="1"/>
    <col min="4" max="4" width="24.5194664001465" customWidth="1"/>
    <col min="5" max="5" width="22.1878986358643" customWidth="1"/>
    <col min="6" max="6" width="24.8468456268311" customWidth="1"/>
    <col min="7" max="7" width="25.0412292480469" customWidth="1"/>
    <col min="8" max="8" width="19.6844596862793" customWidth="1"/>
    <col min="9" max="9" width="24.8263854980469" customWidth="1"/>
    <col min="10" max="10" width="9.140625" customWidth="1"/>
    <col min="11" max="11" width="17.2229633331299" customWidth="1"/>
    <col min="12" max="12" width="25.0852203369141" customWidth="1"/>
    <col min="13" max="13" width="11.5214204788208" customWidth="1"/>
    <col min="14" max="14" width="15.1267023086548" customWidth="1"/>
    <col min="15" max="15" width="9.140625" customWidth="1"/>
    <col min="16" max="16" width="26.4080448150635" customWidth="1"/>
    <col min="17" max="17" width="9.140625" customWidth="1"/>
    <col min="18" max="18" width="9.140625" customWidth="1"/>
    <col min="19" max="19" width="15.8469400405884" customWidth="1"/>
    <col min="20" max="20" width="9.140625" customWidth="1"/>
    <col min="21" max="21" width="9.140625" customWidth="1"/>
    <col min="22" max="22" width="16.1323757171631" customWidth="1"/>
    <col min="23" max="23" width="27.6346988677979" customWidth="1"/>
    <col min="24" max="24" width="13.8427562713623" customWidth="1"/>
    <col min="25" max="25" bestFit="1" width="11.4047908782959" customWidth="1"/>
    <col min="26" max="26" bestFit="1" width="12.7286376953125" customWidth="1"/>
    <col min="27" max="27" bestFit="1" width="15.9492473602295" customWidth="1"/>
    <col min="28" max="28" bestFit="1" width="13.6176815032959" customWidth="1"/>
    <col min="29" max="29" width="11.541880607605" customWidth="1"/>
    <col min="30" max="30" width="13.8427562713623" customWidth="1"/>
    <col min="31" max="31" width="26.4080448150635" customWidth="1"/>
  </cols>
  <sheetData>
    <row r="1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4" t="s">
        <v>1</v>
      </c>
      <c r="L1" s="24"/>
      <c r="M1" s="24"/>
      <c r="N1" s="24"/>
      <c r="O1" s="24"/>
      <c r="P1" s="19" t="s">
        <v>2</v>
      </c>
      <c r="Q1" s="19"/>
      <c r="R1" s="19"/>
      <c r="S1" s="11" t="s">
        <v>3</v>
      </c>
      <c r="T1" s="20" t="s">
        <v>4</v>
      </c>
      <c r="U1" s="20"/>
      <c r="V1" s="20"/>
      <c r="W1" s="20"/>
      <c r="Z1" s="0" t="s">
        <v>5</v>
      </c>
      <c r="AA1" s="0" t="s">
        <v>6</v>
      </c>
      <c r="AB1" s="0" t="s">
        <v>7</v>
      </c>
      <c r="AC1" s="0" t="s">
        <v>8</v>
      </c>
    </row>
    <row r="2">
      <c r="B2" s="21" t="s">
        <v>9</v>
      </c>
      <c r="C2" s="21"/>
      <c r="D2" s="21"/>
      <c r="E2" s="21"/>
      <c r="F2" s="21"/>
      <c r="G2" s="21"/>
      <c r="H2" s="22" t="s">
        <v>10</v>
      </c>
      <c r="I2" s="22"/>
      <c r="J2" s="18" t="s">
        <v>11</v>
      </c>
      <c r="K2" s="21" t="s">
        <v>9</v>
      </c>
      <c r="L2" s="21"/>
      <c r="M2" s="22" t="s">
        <v>10</v>
      </c>
      <c r="N2" s="22"/>
      <c r="O2" s="17" t="s">
        <v>11</v>
      </c>
      <c r="P2" s="15"/>
      <c r="Q2" s="15"/>
      <c r="R2" s="15"/>
      <c r="S2" s="11"/>
      <c r="T2" s="16"/>
      <c r="U2" s="16"/>
      <c r="V2" s="16"/>
      <c r="W2" s="16"/>
    </row>
    <row r="3" ht="30" customHeight="1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8" t="s">
        <v>18</v>
      </c>
      <c r="H3" s="8" t="s">
        <v>19</v>
      </c>
      <c r="I3" s="8" t="s">
        <v>20</v>
      </c>
      <c r="J3" s="8"/>
      <c r="K3" s="8" t="s">
        <v>21</v>
      </c>
      <c r="L3" s="8" t="s">
        <v>22</v>
      </c>
      <c r="M3" s="8" t="s">
        <v>23</v>
      </c>
      <c r="N3" s="8" t="s">
        <v>24</v>
      </c>
      <c r="O3" s="8"/>
      <c r="P3" s="8" t="s">
        <v>25</v>
      </c>
      <c r="Q3" s="10" t="s">
        <v>26</v>
      </c>
      <c r="R3" s="10" t="s">
        <v>27</v>
      </c>
      <c r="S3" s="8" t="s">
        <v>28</v>
      </c>
      <c r="T3" s="10" t="s">
        <v>29</v>
      </c>
      <c r="U3" s="10" t="s">
        <v>30</v>
      </c>
      <c r="V3" s="8" t="s">
        <v>31</v>
      </c>
      <c r="W3" s="8" t="s">
        <v>32</v>
      </c>
      <c r="X3" s="9" t="s">
        <v>33</v>
      </c>
      <c r="Y3" s="9" t="s">
        <v>34</v>
      </c>
      <c r="AC3" s="0" t="s">
        <v>13</v>
      </c>
      <c r="AD3" s="0" t="s">
        <v>33</v>
      </c>
      <c r="AE3" s="0" t="s">
        <v>25</v>
      </c>
    </row>
    <row r="4">
      <c r="B4" s="2" t="s">
        <v>35</v>
      </c>
      <c r="C4" s="2" t="s">
        <v>35</v>
      </c>
      <c r="D4" s="2" t="s">
        <v>35</v>
      </c>
      <c r="E4" s="2" t="s">
        <v>35</v>
      </c>
      <c r="F4" s="0" t="s">
        <v>35</v>
      </c>
      <c r="G4" s="0" t="s">
        <v>35</v>
      </c>
      <c r="H4" s="2" t="s">
        <v>36</v>
      </c>
      <c r="I4" s="2" t="s">
        <v>36</v>
      </c>
      <c r="P4" s="2" t="s">
        <v>37</v>
      </c>
      <c r="Q4" s="2"/>
      <c r="R4" s="2"/>
      <c r="S4" s="2" t="s">
        <v>38</v>
      </c>
      <c r="T4" s="0" t="s">
        <v>39</v>
      </c>
      <c r="V4" s="0" t="s">
        <v>40</v>
      </c>
      <c r="W4" s="0" t="s">
        <v>40</v>
      </c>
      <c r="X4" s="9" t="s">
        <v>41</v>
      </c>
      <c r="Y4" s="9" t="s">
        <v>35</v>
      </c>
      <c r="AC4" s="0" t="s">
        <v>35</v>
      </c>
      <c r="AD4" s="0" t="s">
        <v>41</v>
      </c>
      <c r="AE4" s="0" t="s">
        <v>37</v>
      </c>
    </row>
    <row r="5">
      <c r="A5" s="1" t="s">
        <v>42</v>
      </c>
      <c r="B5" s="3">
        <v>1119</v>
      </c>
      <c r="C5" s="3">
        <v>1523.97</v>
      </c>
      <c r="D5" s="3">
        <v>746</v>
      </c>
      <c r="E5" s="3">
        <v>373</v>
      </c>
      <c r="F5" s="3">
        <v>1119</v>
      </c>
      <c r="G5" s="3">
        <v>1131908</v>
      </c>
      <c r="H5" s="3">
        <v>653</v>
      </c>
      <c r="I5" s="3">
        <v>653</v>
      </c>
      <c r="J5" s="3">
        <v>0.864</v>
      </c>
      <c r="K5" s="3">
        <v>3865</v>
      </c>
      <c r="L5" s="3">
        <v>3865</v>
      </c>
      <c r="M5" s="3">
        <v>1226</v>
      </c>
      <c r="N5" s="3">
        <v>1226</v>
      </c>
      <c r="O5" s="3">
        <v>0.953</v>
      </c>
      <c r="P5" s="3">
        <v>0.76</v>
      </c>
      <c r="Q5" s="3">
        <v>0.76</v>
      </c>
      <c r="R5" s="3">
        <v>765.85</v>
      </c>
      <c r="S5" s="3">
        <v>394</v>
      </c>
      <c r="T5" s="3">
        <v>36.200000762939453</v>
      </c>
      <c r="U5" s="3">
        <v>28.329999923706055</v>
      </c>
      <c r="V5" s="3">
        <v>2.4</v>
      </c>
      <c r="W5" s="3">
        <v>2.4</v>
      </c>
      <c r="X5" s="0">
        <v>2.4</v>
      </c>
      <c r="Y5" s="3">
        <f>B5+K5</f>
        <v>0</v>
      </c>
      <c r="AC5" s="0" t="e">
        <f>IF(B5&gt;0,B5,#N/A)</f>
        <v>#N/A</v>
      </c>
      <c r="AD5" s="0" t="e">
        <f>IF(X5&gt;0,X5,#N/A)</f>
        <v>#N/A</v>
      </c>
      <c r="AE5" s="0" t="e">
        <f>IF(P5&gt;0,P5,#N/A)</f>
        <v>#N/A</v>
      </c>
    </row>
    <row r="6">
      <c r="A6" s="1" t="s">
        <v>43</v>
      </c>
      <c r="B6" s="3">
        <v>1286</v>
      </c>
      <c r="C6" s="3">
        <v>3018.49</v>
      </c>
      <c r="D6" s="3">
        <v>1286</v>
      </c>
      <c r="E6" s="3">
        <v>0</v>
      </c>
      <c r="F6" s="3">
        <v>2405</v>
      </c>
      <c r="G6" s="3">
        <v>1133194</v>
      </c>
      <c r="H6" s="3">
        <v>736</v>
      </c>
      <c r="I6" s="3">
        <v>1389</v>
      </c>
      <c r="J6" s="3">
        <v>0.866</v>
      </c>
      <c r="K6" s="3">
        <v>2771</v>
      </c>
      <c r="L6" s="3">
        <v>6636</v>
      </c>
      <c r="M6" s="3">
        <v>822</v>
      </c>
      <c r="N6" s="3">
        <v>2048</v>
      </c>
      <c r="O6" s="3">
        <v>0.956</v>
      </c>
      <c r="P6" s="3">
        <v>0.87</v>
      </c>
      <c r="Q6" s="3">
        <v>1.63</v>
      </c>
      <c r="R6" s="3">
        <v>766.72</v>
      </c>
      <c r="S6" s="3">
        <v>331</v>
      </c>
      <c r="T6" s="3">
        <v>43.580001831054688</v>
      </c>
      <c r="U6" s="3">
        <v>30.139999389648438</v>
      </c>
      <c r="V6" s="3">
        <v>4.75</v>
      </c>
      <c r="W6" s="3">
        <v>7.15</v>
      </c>
      <c r="X6" s="0">
        <v>2.15</v>
      </c>
      <c r="Y6" s="3">
        <f ref="Y6:Y35" t="shared" si="0">B6+K6</f>
        <v>0</v>
      </c>
      <c r="AC6" s="0" t="e">
        <f ref="AC6:AC35" t="shared" si="1">IF(B6&gt;0,B6,#N/A)</f>
        <v>#N/A</v>
      </c>
      <c r="AD6" s="0" t="e">
        <f ref="AD6:AD35" t="shared" si="2">IF(X6&gt;0,X6,#N/A)</f>
        <v>#N/A</v>
      </c>
      <c r="AE6" s="0" t="e">
        <f ref="AE6:AE35" t="shared" si="3">IF(P6&gt;0,P6,#N/A)</f>
        <v>#N/A</v>
      </c>
    </row>
    <row r="7">
      <c r="A7" s="1" t="s">
        <v>44</v>
      </c>
      <c r="B7" s="3">
        <v>1279</v>
      </c>
      <c r="C7" s="3">
        <v>1354.87</v>
      </c>
      <c r="D7" s="3">
        <v>1124</v>
      </c>
      <c r="E7" s="3">
        <v>155</v>
      </c>
      <c r="F7" s="3">
        <v>3684</v>
      </c>
      <c r="G7" s="3">
        <v>1134473</v>
      </c>
      <c r="H7" s="3">
        <v>746</v>
      </c>
      <c r="I7" s="3">
        <v>2135</v>
      </c>
      <c r="J7" s="3">
        <v>0.865</v>
      </c>
      <c r="K7" s="3">
        <v>4999</v>
      </c>
      <c r="L7" s="3">
        <v>11635</v>
      </c>
      <c r="M7" s="3">
        <v>1537</v>
      </c>
      <c r="N7" s="3">
        <v>3585</v>
      </c>
      <c r="O7" s="3">
        <v>0.956</v>
      </c>
      <c r="P7" s="3">
        <v>0.87</v>
      </c>
      <c r="Q7" s="3">
        <v>2.49</v>
      </c>
      <c r="R7" s="3">
        <v>767.58</v>
      </c>
      <c r="S7" s="3">
        <v>431</v>
      </c>
      <c r="T7" s="3">
        <v>32.0099983215332</v>
      </c>
      <c r="U7" s="3">
        <v>27.440000534057617</v>
      </c>
      <c r="V7" s="3">
        <v>2.13</v>
      </c>
      <c r="W7" s="3">
        <v>9.28</v>
      </c>
      <c r="X7" s="0">
        <v>2.36</v>
      </c>
      <c r="Y7" s="3">
        <f t="shared" si="0"/>
        <v>0</v>
      </c>
      <c r="AC7" s="0" t="e">
        <f t="shared" si="1"/>
        <v>#N/A</v>
      </c>
      <c r="AD7" s="0" t="e">
        <f t="shared" si="2"/>
        <v>#N/A</v>
      </c>
      <c r="AE7" s="0" t="e">
        <f t="shared" si="3"/>
        <v>#N/A</v>
      </c>
    </row>
    <row r="8">
      <c r="A8" s="1" t="s">
        <v>45</v>
      </c>
      <c r="B8" s="3">
        <v>1882</v>
      </c>
      <c r="C8" s="3">
        <v>2363.06</v>
      </c>
      <c r="D8" s="3">
        <v>1297</v>
      </c>
      <c r="E8" s="3">
        <v>585</v>
      </c>
      <c r="F8" s="3">
        <v>5566</v>
      </c>
      <c r="G8" s="3">
        <v>1136355</v>
      </c>
      <c r="H8" s="3">
        <v>1070</v>
      </c>
      <c r="I8" s="3">
        <v>3205</v>
      </c>
      <c r="J8" s="3">
        <v>0.867</v>
      </c>
      <c r="K8" s="3">
        <v>5680</v>
      </c>
      <c r="L8" s="3">
        <v>17315</v>
      </c>
      <c r="M8" s="3">
        <v>1838</v>
      </c>
      <c r="N8" s="3">
        <v>5423</v>
      </c>
      <c r="O8" s="3">
        <v>0.954</v>
      </c>
      <c r="P8" s="3">
        <v>1.27</v>
      </c>
      <c r="Q8" s="3">
        <v>3.77</v>
      </c>
      <c r="R8" s="3">
        <v>768.86</v>
      </c>
      <c r="S8" s="3">
        <v>578</v>
      </c>
      <c r="T8" s="3">
        <v>38.930000305175781</v>
      </c>
      <c r="U8" s="3">
        <v>29.409999847412109</v>
      </c>
      <c r="V8" s="3">
        <v>3.72</v>
      </c>
      <c r="W8" s="3">
        <v>12.99</v>
      </c>
      <c r="X8" s="0">
        <v>3.97</v>
      </c>
      <c r="Y8" s="3">
        <f t="shared" si="0"/>
        <v>0</v>
      </c>
      <c r="AC8" s="0" t="e">
        <f t="shared" si="1"/>
        <v>#N/A</v>
      </c>
      <c r="AD8" s="0" t="e">
        <f t="shared" si="2"/>
        <v>#N/A</v>
      </c>
      <c r="AE8" s="0" t="e">
        <f t="shared" si="3"/>
        <v>#N/A</v>
      </c>
    </row>
    <row r="9">
      <c r="A9" s="1" t="s">
        <v>46</v>
      </c>
      <c r="B9" s="3">
        <v>1921</v>
      </c>
      <c r="C9" s="3">
        <v>2117.12</v>
      </c>
      <c r="D9" s="3">
        <v>1921</v>
      </c>
      <c r="E9" s="3">
        <v>0</v>
      </c>
      <c r="F9" s="3">
        <v>7487</v>
      </c>
      <c r="G9" s="3">
        <v>1138276</v>
      </c>
      <c r="H9" s="3">
        <v>1132</v>
      </c>
      <c r="I9" s="3">
        <v>4337</v>
      </c>
      <c r="J9" s="3">
        <v>0.865</v>
      </c>
      <c r="K9" s="3">
        <v>9431</v>
      </c>
      <c r="L9" s="3">
        <v>26746</v>
      </c>
      <c r="M9" s="3">
        <v>3343</v>
      </c>
      <c r="N9" s="3">
        <v>8766</v>
      </c>
      <c r="O9" s="3">
        <v>0.95</v>
      </c>
      <c r="P9" s="3">
        <v>1.3</v>
      </c>
      <c r="Q9" s="3">
        <v>5.07</v>
      </c>
      <c r="R9" s="3">
        <v>770.16</v>
      </c>
      <c r="S9" s="3">
        <v>561</v>
      </c>
      <c r="T9" s="3">
        <v>37.639999389648438</v>
      </c>
      <c r="U9" s="3">
        <v>29.280000686645508</v>
      </c>
      <c r="V9" s="3">
        <v>3.33</v>
      </c>
      <c r="W9" s="3">
        <v>16.32</v>
      </c>
      <c r="X9" s="0">
        <v>3.21</v>
      </c>
      <c r="Y9" s="3">
        <f t="shared" si="0"/>
        <v>0</v>
      </c>
      <c r="AC9" s="0" t="e">
        <f t="shared" si="1"/>
        <v>#N/A</v>
      </c>
      <c r="AD9" s="0" t="e">
        <f t="shared" si="2"/>
        <v>#N/A</v>
      </c>
      <c r="AE9" s="0" t="e">
        <f t="shared" si="3"/>
        <v>#N/A</v>
      </c>
    </row>
    <row r="10">
      <c r="A10" s="1" t="s">
        <v>47</v>
      </c>
      <c r="B10" s="3">
        <v>930</v>
      </c>
      <c r="C10" s="3">
        <v>903.96</v>
      </c>
      <c r="D10" s="3">
        <v>673</v>
      </c>
      <c r="E10" s="3">
        <v>257</v>
      </c>
      <c r="F10" s="3">
        <v>8417</v>
      </c>
      <c r="G10" s="3">
        <v>1139206</v>
      </c>
      <c r="H10" s="3">
        <v>588</v>
      </c>
      <c r="I10" s="3">
        <v>4925</v>
      </c>
      <c r="J10" s="3">
        <v>0.863</v>
      </c>
      <c r="K10" s="3">
        <v>8526</v>
      </c>
      <c r="L10" s="3">
        <v>35272</v>
      </c>
      <c r="M10" s="3">
        <v>3124</v>
      </c>
      <c r="N10" s="3">
        <v>11890</v>
      </c>
      <c r="O10" s="3">
        <v>0.948</v>
      </c>
      <c r="P10" s="3">
        <v>0.63</v>
      </c>
      <c r="Q10" s="3">
        <v>5.69</v>
      </c>
      <c r="R10" s="3">
        <v>770.79</v>
      </c>
      <c r="S10" s="3">
        <v>181</v>
      </c>
      <c r="T10" s="3">
        <v>31.209999084472656</v>
      </c>
      <c r="U10" s="3">
        <v>28.139999389648438</v>
      </c>
      <c r="V10" s="3">
        <v>1.42</v>
      </c>
      <c r="W10" s="3">
        <v>17.75</v>
      </c>
      <c r="X10" s="0">
        <v>1.92</v>
      </c>
      <c r="Y10" s="3">
        <f t="shared" si="0"/>
        <v>0</v>
      </c>
      <c r="AC10" s="0" t="e">
        <f t="shared" si="1"/>
        <v>#N/A</v>
      </c>
      <c r="AD10" s="0" t="e">
        <f t="shared" si="2"/>
        <v>#N/A</v>
      </c>
      <c r="AE10" s="0" t="e">
        <f t="shared" si="3"/>
        <v>#N/A</v>
      </c>
    </row>
    <row r="11">
      <c r="A11" s="1" t="s">
        <v>48</v>
      </c>
      <c r="B11" s="3">
        <v>1731</v>
      </c>
      <c r="C11" s="3">
        <v>1883.09</v>
      </c>
      <c r="D11" s="3">
        <v>1074</v>
      </c>
      <c r="E11" s="3">
        <v>657</v>
      </c>
      <c r="F11" s="3">
        <v>10148</v>
      </c>
      <c r="G11" s="3">
        <v>1140937</v>
      </c>
      <c r="H11" s="3">
        <v>1019</v>
      </c>
      <c r="I11" s="3">
        <v>5944</v>
      </c>
      <c r="J11" s="3">
        <v>0.863</v>
      </c>
      <c r="K11" s="3">
        <v>8488</v>
      </c>
      <c r="L11" s="3">
        <v>43760</v>
      </c>
      <c r="M11" s="3">
        <v>2917</v>
      </c>
      <c r="N11" s="3">
        <v>14807</v>
      </c>
      <c r="O11" s="3">
        <v>0.947</v>
      </c>
      <c r="P11" s="3">
        <v>1.17</v>
      </c>
      <c r="Q11" s="3">
        <v>6.87</v>
      </c>
      <c r="R11" s="3">
        <v>771.96</v>
      </c>
      <c r="S11" s="3">
        <v>498</v>
      </c>
      <c r="T11" s="3">
        <v>35.889999389648438</v>
      </c>
      <c r="U11" s="3">
        <v>29.090000152587891</v>
      </c>
      <c r="V11" s="3">
        <v>2.96</v>
      </c>
      <c r="W11" s="3">
        <v>20.71</v>
      </c>
      <c r="X11" s="0">
        <v>3.82</v>
      </c>
      <c r="Y11" s="3">
        <f t="shared" si="0"/>
        <v>0</v>
      </c>
      <c r="AC11" s="0" t="e">
        <f t="shared" si="1"/>
        <v>#N/A</v>
      </c>
      <c r="AD11" s="0" t="e">
        <f t="shared" si="2"/>
        <v>#N/A</v>
      </c>
      <c r="AE11" s="0" t="e">
        <f t="shared" si="3"/>
        <v>#N/A</v>
      </c>
    </row>
    <row r="12">
      <c r="A12" s="1" t="s">
        <v>49</v>
      </c>
      <c r="B12" s="3">
        <v>1525</v>
      </c>
      <c r="C12" s="3">
        <v>2880.9</v>
      </c>
      <c r="D12" s="3">
        <v>1181</v>
      </c>
      <c r="E12" s="3">
        <v>344</v>
      </c>
      <c r="F12" s="3">
        <v>11673</v>
      </c>
      <c r="G12" s="3">
        <v>1142462</v>
      </c>
      <c r="H12" s="3">
        <v>881</v>
      </c>
      <c r="I12" s="3">
        <v>6825</v>
      </c>
      <c r="J12" s="3">
        <v>0.863</v>
      </c>
      <c r="K12" s="3">
        <v>4566</v>
      </c>
      <c r="L12" s="3">
        <v>48326</v>
      </c>
      <c r="M12" s="3">
        <v>1658</v>
      </c>
      <c r="N12" s="3">
        <v>16465</v>
      </c>
      <c r="O12" s="3">
        <v>0.947</v>
      </c>
      <c r="P12" s="3">
        <v>1.03</v>
      </c>
      <c r="Q12" s="3">
        <v>7.9</v>
      </c>
      <c r="R12" s="3">
        <v>772.99</v>
      </c>
      <c r="S12" s="3">
        <v>387</v>
      </c>
      <c r="T12" s="3">
        <v>45.970001220703125</v>
      </c>
      <c r="U12" s="3">
        <v>32.169998168945313</v>
      </c>
      <c r="V12" s="3">
        <v>4.53</v>
      </c>
      <c r="W12" s="3">
        <v>25.24</v>
      </c>
      <c r="X12" s="0">
        <v>3.04</v>
      </c>
      <c r="Y12" s="3">
        <f t="shared" si="0"/>
        <v>0</v>
      </c>
      <c r="AC12" s="0" t="e">
        <f t="shared" si="1"/>
        <v>#N/A</v>
      </c>
      <c r="AD12" s="0" t="e">
        <f t="shared" si="2"/>
        <v>#N/A</v>
      </c>
      <c r="AE12" s="0" t="e">
        <f t="shared" si="3"/>
        <v>#N/A</v>
      </c>
    </row>
    <row r="13">
      <c r="A13" s="1" t="s">
        <v>50</v>
      </c>
      <c r="B13" s="3">
        <v>1137</v>
      </c>
      <c r="C13" s="3">
        <v>2422.89</v>
      </c>
      <c r="D13" s="3">
        <v>1137</v>
      </c>
      <c r="E13" s="3">
        <v>0</v>
      </c>
      <c r="F13" s="3">
        <v>12810</v>
      </c>
      <c r="G13" s="3">
        <v>1143599</v>
      </c>
      <c r="H13" s="3">
        <v>663</v>
      </c>
      <c r="I13" s="3">
        <v>7488</v>
      </c>
      <c r="J13" s="3">
        <v>0.863</v>
      </c>
      <c r="K13" s="3">
        <v>2950</v>
      </c>
      <c r="L13" s="3">
        <v>51276</v>
      </c>
      <c r="M13" s="3">
        <v>957</v>
      </c>
      <c r="N13" s="3">
        <v>17422</v>
      </c>
      <c r="O13" s="3">
        <v>0.947</v>
      </c>
      <c r="P13" s="3">
        <v>0.77</v>
      </c>
      <c r="Q13" s="3">
        <v>8.67</v>
      </c>
      <c r="R13" s="3">
        <v>773.76</v>
      </c>
      <c r="S13" s="3">
        <v>281</v>
      </c>
      <c r="T13" s="3">
        <v>43.840000152587891</v>
      </c>
      <c r="U13" s="3">
        <v>31.069999694824219</v>
      </c>
      <c r="V13" s="3">
        <v>3.81</v>
      </c>
      <c r="W13" s="3">
        <v>29.05</v>
      </c>
      <c r="X13" s="0">
        <v>1.9</v>
      </c>
      <c r="Y13" s="3">
        <f t="shared" si="0"/>
        <v>0</v>
      </c>
      <c r="AC13" s="0" t="e">
        <f t="shared" si="1"/>
        <v>#N/A</v>
      </c>
      <c r="AD13" s="0" t="e">
        <f t="shared" si="2"/>
        <v>#N/A</v>
      </c>
      <c r="AE13" s="0" t="e">
        <f t="shared" si="3"/>
        <v>#N/A</v>
      </c>
    </row>
    <row r="14" s="14" customFormat="1">
      <c r="A14" s="12" t="s">
        <v>51</v>
      </c>
      <c r="B14" s="13">
        <v>2623</v>
      </c>
      <c r="C14" s="13">
        <v>2992.04</v>
      </c>
      <c r="D14" s="13">
        <v>1770</v>
      </c>
      <c r="E14" s="13">
        <v>853</v>
      </c>
      <c r="F14" s="13">
        <v>15433</v>
      </c>
      <c r="G14" s="13">
        <v>1146222</v>
      </c>
      <c r="H14" s="13">
        <v>1453</v>
      </c>
      <c r="I14" s="13">
        <v>8941</v>
      </c>
      <c r="J14" s="13">
        <v>0.865</v>
      </c>
      <c r="K14" s="13">
        <v>3265</v>
      </c>
      <c r="L14" s="13">
        <v>54541</v>
      </c>
      <c r="M14" s="13">
        <v>866</v>
      </c>
      <c r="N14" s="13">
        <v>18288</v>
      </c>
      <c r="O14" s="13">
        <v>0.948</v>
      </c>
      <c r="P14" s="13">
        <v>1.77</v>
      </c>
      <c r="Q14" s="13">
        <v>10.44</v>
      </c>
      <c r="R14" s="13">
        <v>775.53</v>
      </c>
      <c r="S14" s="13">
        <v>552</v>
      </c>
      <c r="T14" s="13">
        <v>43.770000457763672</v>
      </c>
      <c r="U14" s="13">
        <v>31.270000457763672</v>
      </c>
      <c r="V14" s="13">
        <v>4.71</v>
      </c>
      <c r="W14" s="13">
        <v>33.76</v>
      </c>
      <c r="X14" s="14">
        <v>5.59</v>
      </c>
      <c r="Y14" s="13">
        <f t="shared" si="0"/>
        <v>0</v>
      </c>
      <c r="AC14" s="14" t="e">
        <f t="shared" si="1"/>
        <v>#N/A</v>
      </c>
      <c r="AD14" s="14" t="e">
        <f t="shared" si="2"/>
        <v>#N/A</v>
      </c>
      <c r="AE14" s="14" t="e">
        <f t="shared" si="3"/>
        <v>#N/A</v>
      </c>
    </row>
    <row r="15">
      <c r="A15" s="1" t="s">
        <v>52</v>
      </c>
      <c r="B15" s="3">
        <v>2022</v>
      </c>
      <c r="C15" s="3">
        <v>2176.11</v>
      </c>
      <c r="D15" s="3">
        <v>1364</v>
      </c>
      <c r="E15" s="3">
        <v>658</v>
      </c>
      <c r="F15" s="3">
        <v>17455</v>
      </c>
      <c r="G15" s="3">
        <v>1148244</v>
      </c>
      <c r="H15" s="3">
        <v>1232</v>
      </c>
      <c r="I15" s="3">
        <v>10173</v>
      </c>
      <c r="J15" s="3">
        <v>0.854</v>
      </c>
      <c r="K15" s="3">
        <v>7221</v>
      </c>
      <c r="L15" s="3">
        <v>61762</v>
      </c>
      <c r="M15" s="3">
        <v>2583</v>
      </c>
      <c r="N15" s="3">
        <v>20871</v>
      </c>
      <c r="O15" s="3">
        <v>0.942</v>
      </c>
      <c r="P15" s="3">
        <v>1.37</v>
      </c>
      <c r="Q15" s="3">
        <v>11.81</v>
      </c>
      <c r="R15" s="3">
        <v>776.9</v>
      </c>
      <c r="S15" s="3">
        <v>512</v>
      </c>
      <c r="T15" s="3">
        <v>40.939998626708984</v>
      </c>
      <c r="U15" s="3">
        <v>31.079999923706055</v>
      </c>
      <c r="V15" s="3">
        <v>3.42</v>
      </c>
      <c r="W15" s="3">
        <v>37.18</v>
      </c>
      <c r="X15" s="0">
        <v>4.31</v>
      </c>
      <c r="Y15" s="3">
        <f t="shared" si="0"/>
        <v>0</v>
      </c>
      <c r="AC15" s="0" t="e">
        <f t="shared" si="1"/>
        <v>#N/A</v>
      </c>
      <c r="AD15" s="0" t="e">
        <f t="shared" si="2"/>
        <v>#N/A</v>
      </c>
      <c r="AE15" s="0" t="e">
        <f t="shared" si="3"/>
        <v>#N/A</v>
      </c>
    </row>
    <row r="16">
      <c r="A16" s="1" t="s">
        <v>53</v>
      </c>
      <c r="B16" s="3">
        <v>1689</v>
      </c>
      <c r="C16" s="3">
        <v>1789.3</v>
      </c>
      <c r="D16" s="3">
        <v>1308</v>
      </c>
      <c r="E16" s="3">
        <v>381</v>
      </c>
      <c r="F16" s="3">
        <v>19144</v>
      </c>
      <c r="G16" s="3">
        <v>1149933</v>
      </c>
      <c r="H16" s="3">
        <v>1059</v>
      </c>
      <c r="I16" s="3">
        <v>11232</v>
      </c>
      <c r="J16" s="3">
        <v>0.851</v>
      </c>
      <c r="K16" s="3">
        <v>10631</v>
      </c>
      <c r="L16" s="3">
        <v>72393</v>
      </c>
      <c r="M16" s="3">
        <v>3940</v>
      </c>
      <c r="N16" s="3">
        <v>24811</v>
      </c>
      <c r="O16" s="3">
        <v>0.939</v>
      </c>
      <c r="P16" s="3">
        <v>1.14</v>
      </c>
      <c r="Q16" s="3">
        <v>12.95</v>
      </c>
      <c r="R16" s="3">
        <v>778.04</v>
      </c>
      <c r="S16" s="3">
        <v>484</v>
      </c>
      <c r="T16" s="3">
        <v>36.290000915527344</v>
      </c>
      <c r="U16" s="3">
        <v>29.299999237060547</v>
      </c>
      <c r="V16" s="3">
        <v>2.81</v>
      </c>
      <c r="W16" s="3">
        <v>40</v>
      </c>
      <c r="X16" s="0">
        <v>3.36</v>
      </c>
      <c r="Y16" s="3">
        <f t="shared" si="0"/>
        <v>0</v>
      </c>
      <c r="AC16" s="0" t="e">
        <f t="shared" si="1"/>
        <v>#N/A</v>
      </c>
      <c r="AD16" s="0" t="e">
        <f t="shared" si="2"/>
        <v>#N/A</v>
      </c>
      <c r="AE16" s="0" t="e">
        <f t="shared" si="3"/>
        <v>#N/A</v>
      </c>
    </row>
    <row r="17">
      <c r="A17" s="1" t="s">
        <v>54</v>
      </c>
      <c r="B17" s="3">
        <v>2462</v>
      </c>
      <c r="C17" s="3">
        <v>2696.36</v>
      </c>
      <c r="D17" s="3">
        <v>1818</v>
      </c>
      <c r="E17" s="3">
        <v>644</v>
      </c>
      <c r="F17" s="3">
        <v>21606</v>
      </c>
      <c r="G17" s="3">
        <v>1152395</v>
      </c>
      <c r="H17" s="3">
        <v>1467</v>
      </c>
      <c r="I17" s="3">
        <v>12699</v>
      </c>
      <c r="J17" s="3">
        <v>0.854</v>
      </c>
      <c r="K17" s="3">
        <v>9228</v>
      </c>
      <c r="L17" s="3">
        <v>81621</v>
      </c>
      <c r="M17" s="3">
        <v>3108</v>
      </c>
      <c r="N17" s="3">
        <v>27919</v>
      </c>
      <c r="O17" s="3">
        <v>0.942</v>
      </c>
      <c r="P17" s="3">
        <v>1.67</v>
      </c>
      <c r="Q17" s="3">
        <v>14.62</v>
      </c>
      <c r="R17" s="3">
        <v>779.71</v>
      </c>
      <c r="S17" s="3">
        <v>535</v>
      </c>
      <c r="T17" s="3">
        <v>40.680000305175781</v>
      </c>
      <c r="U17" s="3">
        <v>29.889999389648438</v>
      </c>
      <c r="V17" s="3">
        <v>4.24</v>
      </c>
      <c r="W17" s="3">
        <v>44.24</v>
      </c>
      <c r="X17" s="0">
        <v>5.03</v>
      </c>
      <c r="Y17" s="3">
        <f t="shared" si="0"/>
        <v>0</v>
      </c>
      <c r="AC17" s="0" t="e">
        <f t="shared" si="1"/>
        <v>#N/A</v>
      </c>
      <c r="AD17" s="0" t="e">
        <f t="shared" si="2"/>
        <v>#N/A</v>
      </c>
      <c r="AE17" s="0" t="e">
        <f t="shared" si="3"/>
        <v>#N/A</v>
      </c>
    </row>
    <row r="18">
      <c r="A18" s="1" t="s">
        <v>55</v>
      </c>
      <c r="B18" s="3">
        <v>3312</v>
      </c>
      <c r="C18" s="3">
        <v>3676.94</v>
      </c>
      <c r="D18" s="3">
        <v>2360</v>
      </c>
      <c r="E18" s="3">
        <v>952</v>
      </c>
      <c r="F18" s="3">
        <v>24918</v>
      </c>
      <c r="G18" s="3">
        <v>1155707</v>
      </c>
      <c r="H18" s="3">
        <v>1959</v>
      </c>
      <c r="I18" s="3">
        <v>14658</v>
      </c>
      <c r="J18" s="3">
        <v>0.856</v>
      </c>
      <c r="K18" s="3">
        <v>7308</v>
      </c>
      <c r="L18" s="3">
        <v>88929</v>
      </c>
      <c r="M18" s="3">
        <v>2319</v>
      </c>
      <c r="N18" s="3">
        <v>30238</v>
      </c>
      <c r="O18" s="3">
        <v>0.945</v>
      </c>
      <c r="P18" s="3">
        <v>2.24</v>
      </c>
      <c r="Q18" s="3">
        <v>16.86</v>
      </c>
      <c r="R18" s="3">
        <v>781.95</v>
      </c>
      <c r="S18" s="3">
        <v>500</v>
      </c>
      <c r="T18" s="3">
        <v>44.139999389648438</v>
      </c>
      <c r="U18" s="3">
        <v>30.399999618530273</v>
      </c>
      <c r="V18" s="3">
        <v>5.78</v>
      </c>
      <c r="W18" s="3">
        <v>50.02</v>
      </c>
      <c r="X18" s="0">
        <v>6.88</v>
      </c>
      <c r="Y18" s="3">
        <f t="shared" si="0"/>
        <v>0</v>
      </c>
      <c r="AC18" s="0" t="e">
        <f t="shared" si="1"/>
        <v>#N/A</v>
      </c>
      <c r="AD18" s="0" t="e">
        <f t="shared" si="2"/>
        <v>#N/A</v>
      </c>
      <c r="AE18" s="0" t="e">
        <f t="shared" si="3"/>
        <v>#N/A</v>
      </c>
    </row>
    <row r="19">
      <c r="A19" s="1" t="s">
        <v>56</v>
      </c>
      <c r="B19" s="3">
        <v>1672</v>
      </c>
      <c r="C19" s="3">
        <v>3334.99</v>
      </c>
      <c r="D19" s="3">
        <v>1300</v>
      </c>
      <c r="E19" s="3">
        <v>372</v>
      </c>
      <c r="F19" s="3">
        <v>26590</v>
      </c>
      <c r="G19" s="3">
        <v>1157379</v>
      </c>
      <c r="H19" s="3">
        <v>903</v>
      </c>
      <c r="I19" s="3">
        <v>15561</v>
      </c>
      <c r="J19" s="3">
        <v>0.86</v>
      </c>
      <c r="K19" s="3">
        <v>3961</v>
      </c>
      <c r="L19" s="3">
        <v>92890</v>
      </c>
      <c r="M19" s="3">
        <v>1314</v>
      </c>
      <c r="N19" s="3">
        <v>31552</v>
      </c>
      <c r="O19" s="3">
        <v>0.945</v>
      </c>
      <c r="P19" s="3">
        <v>1.13</v>
      </c>
      <c r="Q19" s="3">
        <v>17.99</v>
      </c>
      <c r="R19" s="3">
        <v>783.08</v>
      </c>
      <c r="S19" s="3">
        <v>387</v>
      </c>
      <c r="T19" s="3">
        <v>43.729999542236328</v>
      </c>
      <c r="U19" s="3">
        <v>29.510000228881836</v>
      </c>
      <c r="V19" s="3">
        <v>5.25</v>
      </c>
      <c r="W19" s="3">
        <v>55.27</v>
      </c>
      <c r="X19" s="0">
        <v>3.32</v>
      </c>
      <c r="Y19" s="3">
        <f t="shared" si="0"/>
        <v>0</v>
      </c>
      <c r="AC19" s="0" t="e">
        <f t="shared" si="1"/>
        <v>#N/A</v>
      </c>
      <c r="AD19" s="0" t="e">
        <f t="shared" si="2"/>
        <v>#N/A</v>
      </c>
      <c r="AE19" s="0" t="e">
        <f t="shared" si="3"/>
        <v>#N/A</v>
      </c>
    </row>
    <row r="20">
      <c r="A20" s="1" t="s">
        <v>57</v>
      </c>
      <c r="B20" s="3">
        <v>1116</v>
      </c>
      <c r="C20" s="3">
        <v>2071.14</v>
      </c>
      <c r="D20" s="3">
        <v>1116</v>
      </c>
      <c r="E20" s="3">
        <v>0</v>
      </c>
      <c r="F20" s="3">
        <v>27706</v>
      </c>
      <c r="G20" s="3">
        <v>1158495</v>
      </c>
      <c r="H20" s="3">
        <v>639</v>
      </c>
      <c r="I20" s="3">
        <v>16200</v>
      </c>
      <c r="J20" s="3">
        <v>0.861</v>
      </c>
      <c r="K20" s="3">
        <v>3139</v>
      </c>
      <c r="L20" s="3">
        <v>96029</v>
      </c>
      <c r="M20" s="3">
        <v>999</v>
      </c>
      <c r="N20" s="3">
        <v>32551</v>
      </c>
      <c r="O20" s="3">
        <v>0.946</v>
      </c>
      <c r="P20" s="3">
        <v>0.76</v>
      </c>
      <c r="Q20" s="3">
        <v>18.75</v>
      </c>
      <c r="R20" s="3">
        <v>783.84</v>
      </c>
      <c r="S20" s="3">
        <v>388</v>
      </c>
      <c r="T20" s="3">
        <v>37.860000610351563</v>
      </c>
      <c r="U20" s="3">
        <v>28.299999237060547</v>
      </c>
      <c r="V20" s="3">
        <v>3.26</v>
      </c>
      <c r="W20" s="3">
        <v>58.53</v>
      </c>
      <c r="X20" s="0">
        <v>1.86</v>
      </c>
      <c r="Y20" s="3">
        <f t="shared" si="0"/>
        <v>0</v>
      </c>
      <c r="AC20" s="0" t="e">
        <f t="shared" si="1"/>
        <v>#N/A</v>
      </c>
      <c r="AD20" s="0" t="e">
        <f t="shared" si="2"/>
        <v>#N/A</v>
      </c>
      <c r="AE20" s="0" t="e">
        <f t="shared" si="3"/>
        <v>#N/A</v>
      </c>
    </row>
    <row r="21">
      <c r="A21" s="1" t="s">
        <v>58</v>
      </c>
      <c r="B21" s="3">
        <v>1493</v>
      </c>
      <c r="C21" s="3">
        <v>1722.75</v>
      </c>
      <c r="D21" s="3">
        <v>1169</v>
      </c>
      <c r="E21" s="3">
        <v>324</v>
      </c>
      <c r="F21" s="3">
        <v>29199</v>
      </c>
      <c r="G21" s="3">
        <v>1159988</v>
      </c>
      <c r="H21" s="3">
        <v>862</v>
      </c>
      <c r="I21" s="3">
        <v>17062</v>
      </c>
      <c r="J21" s="3">
        <v>0.861</v>
      </c>
      <c r="K21" s="3">
        <v>5442</v>
      </c>
      <c r="L21" s="3">
        <v>101471</v>
      </c>
      <c r="M21" s="3">
        <v>1794</v>
      </c>
      <c r="N21" s="3">
        <v>34345</v>
      </c>
      <c r="O21" s="3">
        <v>0.946</v>
      </c>
      <c r="P21" s="3">
        <v>1.01</v>
      </c>
      <c r="Q21" s="3">
        <v>19.76</v>
      </c>
      <c r="R21" s="3">
        <v>784.85</v>
      </c>
      <c r="S21" s="3">
        <v>443</v>
      </c>
      <c r="T21" s="3">
        <v>37.389999389648438</v>
      </c>
      <c r="U21" s="3">
        <v>29.069999694824219</v>
      </c>
      <c r="V21" s="3">
        <v>2.71</v>
      </c>
      <c r="W21" s="3">
        <v>61.24</v>
      </c>
      <c r="X21" s="0">
        <v>2.95</v>
      </c>
      <c r="Y21" s="3">
        <f t="shared" si="0"/>
        <v>0</v>
      </c>
      <c r="AC21" s="0" t="e">
        <f t="shared" si="1"/>
        <v>#N/A</v>
      </c>
      <c r="AD21" s="0" t="e">
        <f t="shared" si="2"/>
        <v>#N/A</v>
      </c>
      <c r="AE21" s="0" t="e">
        <f t="shared" si="3"/>
        <v>#N/A</v>
      </c>
    </row>
    <row r="22">
      <c r="A22" s="1" t="s">
        <v>59</v>
      </c>
      <c r="B22" s="3">
        <v>1813</v>
      </c>
      <c r="C22" s="3">
        <v>1938.02</v>
      </c>
      <c r="D22" s="3">
        <v>1317</v>
      </c>
      <c r="E22" s="3">
        <v>496</v>
      </c>
      <c r="F22" s="3">
        <v>31012</v>
      </c>
      <c r="G22" s="3">
        <v>1161801</v>
      </c>
      <c r="H22" s="3">
        <v>1127</v>
      </c>
      <c r="I22" s="3">
        <v>18189</v>
      </c>
      <c r="J22" s="3">
        <v>0.86</v>
      </c>
      <c r="K22" s="3">
        <v>11053</v>
      </c>
      <c r="L22" s="3">
        <v>112524</v>
      </c>
      <c r="M22" s="3">
        <v>3976</v>
      </c>
      <c r="N22" s="3">
        <v>38321</v>
      </c>
      <c r="O22" s="3">
        <v>0.945</v>
      </c>
      <c r="P22" s="3">
        <v>1.23</v>
      </c>
      <c r="Q22" s="3">
        <v>20.98</v>
      </c>
      <c r="R22" s="3">
        <v>786.07</v>
      </c>
      <c r="S22" s="3">
        <v>589</v>
      </c>
      <c r="T22" s="3">
        <v>35.959999084472656</v>
      </c>
      <c r="U22" s="3">
        <v>28.530000686645508</v>
      </c>
      <c r="V22" s="3">
        <v>3.05</v>
      </c>
      <c r="W22" s="3">
        <v>64.29</v>
      </c>
      <c r="X22" s="0">
        <v>3.73</v>
      </c>
      <c r="Y22" s="3">
        <f t="shared" si="0"/>
        <v>0</v>
      </c>
      <c r="AC22" s="0" t="e">
        <f t="shared" si="1"/>
        <v>#N/A</v>
      </c>
      <c r="AD22" s="0" t="e">
        <f t="shared" si="2"/>
        <v>#N/A</v>
      </c>
      <c r="AE22" s="0" t="e">
        <f t="shared" si="3"/>
        <v>#N/A</v>
      </c>
    </row>
    <row r="23">
      <c r="A23" s="1" t="s">
        <v>60</v>
      </c>
      <c r="B23" s="3">
        <v>2754</v>
      </c>
      <c r="C23" s="3">
        <v>3192.16</v>
      </c>
      <c r="D23" s="3">
        <v>1894</v>
      </c>
      <c r="E23" s="3">
        <v>860</v>
      </c>
      <c r="F23" s="3">
        <v>33766</v>
      </c>
      <c r="G23" s="3">
        <v>1164555</v>
      </c>
      <c r="H23" s="3">
        <v>1587</v>
      </c>
      <c r="I23" s="3">
        <v>19776</v>
      </c>
      <c r="J23" s="3">
        <v>0.861</v>
      </c>
      <c r="K23" s="3">
        <v>8061</v>
      </c>
      <c r="L23" s="3">
        <v>120585</v>
      </c>
      <c r="M23" s="3">
        <v>2779</v>
      </c>
      <c r="N23" s="3">
        <v>41100</v>
      </c>
      <c r="O23" s="3">
        <v>0.945</v>
      </c>
      <c r="P23" s="3">
        <v>1.86</v>
      </c>
      <c r="Q23" s="3">
        <v>22.85</v>
      </c>
      <c r="R23" s="3">
        <v>787.94</v>
      </c>
      <c r="S23" s="3">
        <v>506</v>
      </c>
      <c r="T23" s="3">
        <v>40.439998626708984</v>
      </c>
      <c r="U23" s="3">
        <v>29.760000228881836</v>
      </c>
      <c r="V23" s="3">
        <v>5.02</v>
      </c>
      <c r="W23" s="3">
        <v>69.31</v>
      </c>
      <c r="X23" s="0">
        <v>5.82</v>
      </c>
      <c r="Y23" s="3">
        <f t="shared" si="0"/>
        <v>0</v>
      </c>
      <c r="AC23" s="0" t="e">
        <f t="shared" si="1"/>
        <v>#N/A</v>
      </c>
      <c r="AD23" s="0" t="e">
        <f t="shared" si="2"/>
        <v>#N/A</v>
      </c>
      <c r="AE23" s="0" t="e">
        <f t="shared" si="3"/>
        <v>#N/A</v>
      </c>
    </row>
    <row r="24">
      <c r="A24" s="1" t="s">
        <v>61</v>
      </c>
      <c r="B24" s="3">
        <v>2120</v>
      </c>
      <c r="C24" s="3">
        <v>2259.78</v>
      </c>
      <c r="D24" s="3">
        <v>1477</v>
      </c>
      <c r="E24" s="3">
        <v>643</v>
      </c>
      <c r="F24" s="3">
        <v>35886</v>
      </c>
      <c r="G24" s="3">
        <v>1166675</v>
      </c>
      <c r="H24" s="3">
        <v>1321</v>
      </c>
      <c r="I24" s="3">
        <v>21097</v>
      </c>
      <c r="J24" s="3">
        <v>0.86</v>
      </c>
      <c r="K24" s="3">
        <v>9665</v>
      </c>
      <c r="L24" s="3">
        <v>130250</v>
      </c>
      <c r="M24" s="3">
        <v>3428</v>
      </c>
      <c r="N24" s="3">
        <v>44528</v>
      </c>
      <c r="O24" s="3">
        <v>0.945</v>
      </c>
      <c r="P24" s="3">
        <v>1.43</v>
      </c>
      <c r="Q24" s="3">
        <v>24.28</v>
      </c>
      <c r="R24" s="3">
        <v>789.37</v>
      </c>
      <c r="S24" s="3">
        <v>450</v>
      </c>
      <c r="T24" s="3">
        <v>37.310001373291016</v>
      </c>
      <c r="U24" s="3">
        <v>28.479999542236328</v>
      </c>
      <c r="V24" s="3">
        <v>3.55</v>
      </c>
      <c r="W24" s="3">
        <v>72.86</v>
      </c>
      <c r="X24" s="0">
        <v>4.45</v>
      </c>
      <c r="Y24" s="3">
        <f t="shared" si="0"/>
        <v>0</v>
      </c>
      <c r="AC24" s="0" t="e">
        <f t="shared" si="1"/>
        <v>#N/A</v>
      </c>
      <c r="AD24" s="0" t="e">
        <f t="shared" si="2"/>
        <v>#N/A</v>
      </c>
      <c r="AE24" s="0" t="e">
        <f t="shared" si="3"/>
        <v>#N/A</v>
      </c>
    </row>
    <row r="25" s="14" customFormat="1">
      <c r="A25" s="12" t="s">
        <v>62</v>
      </c>
      <c r="B25" s="13">
        <v>1934</v>
      </c>
      <c r="C25" s="13">
        <v>2091.57</v>
      </c>
      <c r="D25" s="13">
        <v>1271</v>
      </c>
      <c r="E25" s="13">
        <v>663</v>
      </c>
      <c r="F25" s="13">
        <v>37820</v>
      </c>
      <c r="G25" s="13">
        <v>1168609</v>
      </c>
      <c r="H25" s="13">
        <v>1160</v>
      </c>
      <c r="I25" s="13">
        <v>22257</v>
      </c>
      <c r="J25" s="13">
        <v>0.858</v>
      </c>
      <c r="K25" s="13">
        <v>7611</v>
      </c>
      <c r="L25" s="13">
        <v>137861</v>
      </c>
      <c r="M25" s="13">
        <v>2652</v>
      </c>
      <c r="N25" s="13">
        <v>47180</v>
      </c>
      <c r="O25" s="13">
        <v>0.944</v>
      </c>
      <c r="P25" s="13">
        <v>1.31</v>
      </c>
      <c r="Q25" s="13">
        <v>25.59</v>
      </c>
      <c r="R25" s="13">
        <v>790.68</v>
      </c>
      <c r="S25" s="13">
        <v>556</v>
      </c>
      <c r="T25" s="13">
        <v>35.9900016784668</v>
      </c>
      <c r="U25" s="13">
        <v>28.360000610351563</v>
      </c>
      <c r="V25" s="13">
        <v>3.29</v>
      </c>
      <c r="W25" s="13">
        <v>76.15</v>
      </c>
      <c r="X25" s="14">
        <v>4.17</v>
      </c>
      <c r="Y25" s="13">
        <f t="shared" si="0"/>
        <v>0</v>
      </c>
      <c r="AC25" s="14" t="e">
        <f t="shared" si="1"/>
        <v>#N/A</v>
      </c>
      <c r="AD25" s="14" t="e">
        <f t="shared" si="2"/>
        <v>#N/A</v>
      </c>
      <c r="AE25" s="14" t="e">
        <f t="shared" si="3"/>
        <v>#N/A</v>
      </c>
    </row>
    <row r="26">
      <c r="A26" s="1" t="s">
        <v>63</v>
      </c>
      <c r="B26" s="3">
        <v>1209</v>
      </c>
      <c r="C26" s="3">
        <v>1383.54</v>
      </c>
      <c r="D26" s="3">
        <v>872</v>
      </c>
      <c r="E26" s="3">
        <v>337</v>
      </c>
      <c r="F26" s="3">
        <v>39029</v>
      </c>
      <c r="G26" s="3">
        <v>1169818</v>
      </c>
      <c r="H26" s="3">
        <v>722</v>
      </c>
      <c r="I26" s="3">
        <v>22979</v>
      </c>
      <c r="J26" s="3">
        <v>0.858</v>
      </c>
      <c r="K26" s="3">
        <v>4336</v>
      </c>
      <c r="L26" s="3">
        <v>142197</v>
      </c>
      <c r="M26" s="3">
        <v>1477</v>
      </c>
      <c r="N26" s="3">
        <v>48657</v>
      </c>
      <c r="O26" s="3">
        <v>0.945</v>
      </c>
      <c r="P26" s="3">
        <v>0.82</v>
      </c>
      <c r="Q26" s="3">
        <v>26.41</v>
      </c>
      <c r="R26" s="3">
        <v>791.5</v>
      </c>
      <c r="S26" s="3">
        <v>272</v>
      </c>
      <c r="T26" s="3">
        <v>32.669998168945313</v>
      </c>
      <c r="U26" s="3">
        <v>27.430000305175781</v>
      </c>
      <c r="V26" s="3">
        <v>2.18</v>
      </c>
      <c r="W26" s="3">
        <v>78.33</v>
      </c>
      <c r="X26" s="0">
        <v>2.5</v>
      </c>
      <c r="Y26" s="3">
        <f t="shared" si="0"/>
        <v>0</v>
      </c>
      <c r="AC26" s="0" t="e">
        <f t="shared" si="1"/>
        <v>#N/A</v>
      </c>
      <c r="AD26" s="0" t="e">
        <f t="shared" si="2"/>
        <v>#N/A</v>
      </c>
      <c r="AE26" s="0" t="e">
        <f t="shared" si="3"/>
        <v>#N/A</v>
      </c>
    </row>
    <row r="27">
      <c r="A27" s="1" t="s">
        <v>64</v>
      </c>
      <c r="B27" s="3">
        <v>1258</v>
      </c>
      <c r="C27" s="3">
        <v>2216.24</v>
      </c>
      <c r="D27" s="3">
        <v>1258</v>
      </c>
      <c r="E27" s="3">
        <v>0</v>
      </c>
      <c r="F27" s="3">
        <v>40287</v>
      </c>
      <c r="G27" s="3">
        <v>1171076</v>
      </c>
      <c r="H27" s="3">
        <v>747</v>
      </c>
      <c r="I27" s="3">
        <v>23726</v>
      </c>
      <c r="J27" s="3">
        <v>0.858</v>
      </c>
      <c r="K27" s="3">
        <v>3245</v>
      </c>
      <c r="L27" s="3">
        <v>145442</v>
      </c>
      <c r="M27" s="3">
        <v>1134</v>
      </c>
      <c r="N27" s="3">
        <v>49791</v>
      </c>
      <c r="O27" s="3">
        <v>0.945</v>
      </c>
      <c r="P27" s="3">
        <v>0.85</v>
      </c>
      <c r="Q27" s="3">
        <v>27.26</v>
      </c>
      <c r="R27" s="3">
        <v>792.35</v>
      </c>
      <c r="S27" s="3">
        <v>350</v>
      </c>
      <c r="T27" s="3">
        <v>39.569999694824219</v>
      </c>
      <c r="U27" s="3">
        <v>29.360000610351563</v>
      </c>
      <c r="V27" s="3">
        <v>3.49</v>
      </c>
      <c r="W27" s="3">
        <v>81.82</v>
      </c>
      <c r="X27" s="0">
        <v>2.1</v>
      </c>
      <c r="Y27" s="3">
        <f t="shared" si="0"/>
        <v>0</v>
      </c>
      <c r="AC27" s="0" t="e">
        <f t="shared" si="1"/>
        <v>#N/A</v>
      </c>
      <c r="AD27" s="0" t="e">
        <f t="shared" si="2"/>
        <v>#N/A</v>
      </c>
      <c r="AE27" s="0" t="e">
        <f t="shared" si="3"/>
        <v>#N/A</v>
      </c>
    </row>
    <row r="28">
      <c r="A28" s="1" t="s">
        <v>65</v>
      </c>
      <c r="B28" s="3">
        <v>2709</v>
      </c>
      <c r="C28" s="3">
        <v>3276.54</v>
      </c>
      <c r="D28" s="3">
        <v>1924</v>
      </c>
      <c r="E28" s="3">
        <v>785</v>
      </c>
      <c r="F28" s="3">
        <v>42996</v>
      </c>
      <c r="G28" s="3">
        <v>1173785</v>
      </c>
      <c r="H28" s="3">
        <v>1443</v>
      </c>
      <c r="I28" s="3">
        <v>25169</v>
      </c>
      <c r="J28" s="3">
        <v>0.868</v>
      </c>
      <c r="K28" s="3">
        <v>3831</v>
      </c>
      <c r="L28" s="3">
        <v>149273</v>
      </c>
      <c r="M28" s="3">
        <v>1178</v>
      </c>
      <c r="N28" s="3">
        <v>50969</v>
      </c>
      <c r="O28" s="3">
        <v>0.947</v>
      </c>
      <c r="P28" s="3">
        <v>1.83</v>
      </c>
      <c r="Q28" s="3">
        <v>29.09</v>
      </c>
      <c r="R28" s="3">
        <v>794.18</v>
      </c>
      <c r="S28" s="3">
        <v>471</v>
      </c>
      <c r="T28" s="3">
        <v>45</v>
      </c>
      <c r="U28" s="3">
        <v>30.790000915527344</v>
      </c>
      <c r="V28" s="3">
        <v>5.15</v>
      </c>
      <c r="W28" s="3">
        <v>86.97</v>
      </c>
      <c r="X28" s="0">
        <v>5.64</v>
      </c>
      <c r="Y28" s="3">
        <f t="shared" si="0"/>
        <v>0</v>
      </c>
      <c r="AC28" s="0" t="e">
        <f t="shared" si="1"/>
        <v>#N/A</v>
      </c>
      <c r="AD28" s="0" t="e">
        <f t="shared" si="2"/>
        <v>#N/A</v>
      </c>
      <c r="AE28" s="0" t="e">
        <f t="shared" si="3"/>
        <v>#N/A</v>
      </c>
    </row>
    <row r="29">
      <c r="A29" s="1" t="s">
        <v>66</v>
      </c>
      <c r="B29" s="3">
        <v>2654</v>
      </c>
      <c r="C29" s="3">
        <v>3138.38</v>
      </c>
      <c r="D29" s="3">
        <v>1873</v>
      </c>
      <c r="E29" s="3">
        <v>781</v>
      </c>
      <c r="F29" s="3">
        <v>45650</v>
      </c>
      <c r="G29" s="3">
        <v>1176439</v>
      </c>
      <c r="H29" s="3">
        <v>1433</v>
      </c>
      <c r="I29" s="3">
        <v>26602</v>
      </c>
      <c r="J29" s="3">
        <v>0.871</v>
      </c>
      <c r="K29" s="3">
        <v>5945</v>
      </c>
      <c r="L29" s="3">
        <v>155218</v>
      </c>
      <c r="M29" s="3">
        <v>1923</v>
      </c>
      <c r="N29" s="3">
        <v>52892</v>
      </c>
      <c r="O29" s="3">
        <v>0.948</v>
      </c>
      <c r="P29" s="3">
        <v>1.8</v>
      </c>
      <c r="Q29" s="3">
        <v>30.89</v>
      </c>
      <c r="R29" s="3">
        <v>795.98</v>
      </c>
      <c r="S29" s="3">
        <v>494</v>
      </c>
      <c r="T29" s="3">
        <v>40.849998474121094</v>
      </c>
      <c r="U29" s="3">
        <v>29.469999313354492</v>
      </c>
      <c r="V29" s="3">
        <v>4.94</v>
      </c>
      <c r="W29" s="3">
        <v>91.91</v>
      </c>
      <c r="X29" s="0">
        <v>5.54</v>
      </c>
      <c r="Y29" s="3">
        <f t="shared" si="0"/>
        <v>0</v>
      </c>
      <c r="AC29" s="0" t="e">
        <f t="shared" si="1"/>
        <v>#N/A</v>
      </c>
      <c r="AD29" s="0" t="e">
        <f t="shared" si="2"/>
        <v>#N/A</v>
      </c>
      <c r="AE29" s="0" t="e">
        <f t="shared" si="3"/>
        <v>#N/A</v>
      </c>
    </row>
    <row r="30">
      <c r="A30" s="1" t="s">
        <v>67</v>
      </c>
      <c r="B30" s="3">
        <v>2707</v>
      </c>
      <c r="C30" s="3">
        <v>3373.45</v>
      </c>
      <c r="D30" s="3">
        <v>1967</v>
      </c>
      <c r="E30" s="3">
        <v>740</v>
      </c>
      <c r="F30" s="3">
        <v>48357</v>
      </c>
      <c r="G30" s="3">
        <v>1179146</v>
      </c>
      <c r="H30" s="3">
        <v>1482</v>
      </c>
      <c r="I30" s="3">
        <v>28084</v>
      </c>
      <c r="J30" s="3">
        <v>0.872</v>
      </c>
      <c r="K30" s="3">
        <v>4940</v>
      </c>
      <c r="L30" s="3">
        <v>160158</v>
      </c>
      <c r="M30" s="3">
        <v>1637</v>
      </c>
      <c r="N30" s="3">
        <v>54529</v>
      </c>
      <c r="O30" s="3">
        <v>0.948</v>
      </c>
      <c r="P30" s="3">
        <v>1.83</v>
      </c>
      <c r="Q30" s="3">
        <v>32.72</v>
      </c>
      <c r="R30" s="3">
        <v>797.81</v>
      </c>
      <c r="S30" s="3">
        <v>469</v>
      </c>
      <c r="T30" s="3">
        <v>42.470001220703125</v>
      </c>
      <c r="U30" s="3">
        <v>29.020000457763672</v>
      </c>
      <c r="V30" s="3">
        <v>5.31</v>
      </c>
      <c r="W30" s="3">
        <v>97.21</v>
      </c>
      <c r="X30" s="0">
        <v>5.57</v>
      </c>
      <c r="Y30" s="3">
        <f t="shared" si="0"/>
        <v>0</v>
      </c>
      <c r="AC30" s="0" t="e">
        <f t="shared" si="1"/>
        <v>#N/A</v>
      </c>
      <c r="AD30" s="0" t="e">
        <f t="shared" si="2"/>
        <v>#N/A</v>
      </c>
      <c r="AE30" s="0" t="e">
        <f t="shared" si="3"/>
        <v>#N/A</v>
      </c>
    </row>
    <row r="31">
      <c r="A31" s="1" t="s">
        <v>68</v>
      </c>
      <c r="B31" s="3">
        <v>2644</v>
      </c>
      <c r="C31" s="3">
        <v>3563.55</v>
      </c>
      <c r="D31" s="3">
        <v>1974</v>
      </c>
      <c r="E31" s="3">
        <v>670</v>
      </c>
      <c r="F31" s="3">
        <v>51001</v>
      </c>
      <c r="G31" s="3">
        <v>1181790</v>
      </c>
      <c r="H31" s="3">
        <v>1419</v>
      </c>
      <c r="I31" s="3">
        <v>29503</v>
      </c>
      <c r="J31" s="3">
        <v>0.874</v>
      </c>
      <c r="K31" s="3">
        <v>3120</v>
      </c>
      <c r="L31" s="3">
        <v>163278</v>
      </c>
      <c r="M31" s="3">
        <v>864</v>
      </c>
      <c r="N31" s="3">
        <v>55393</v>
      </c>
      <c r="O31" s="3">
        <v>0.95</v>
      </c>
      <c r="P31" s="3">
        <v>1.79</v>
      </c>
      <c r="Q31" s="3">
        <v>34.51</v>
      </c>
      <c r="R31" s="3">
        <v>799.6</v>
      </c>
      <c r="S31" s="3">
        <v>460</v>
      </c>
      <c r="T31" s="3">
        <v>41.069999694824219</v>
      </c>
      <c r="U31" s="3">
        <v>28.889999389648438</v>
      </c>
      <c r="V31" s="3">
        <v>5.61</v>
      </c>
      <c r="W31" s="3">
        <v>102.82</v>
      </c>
      <c r="X31" s="0">
        <v>5.37</v>
      </c>
      <c r="Y31" s="3">
        <f t="shared" si="0"/>
        <v>0</v>
      </c>
      <c r="AC31" s="0" t="e">
        <f t="shared" si="1"/>
        <v>#N/A</v>
      </c>
      <c r="AD31" s="0" t="e">
        <f t="shared" si="2"/>
        <v>#N/A</v>
      </c>
      <c r="AE31" s="0" t="e">
        <f t="shared" si="3"/>
        <v>#N/A</v>
      </c>
    </row>
    <row r="32">
      <c r="A32" s="1" t="s">
        <v>69</v>
      </c>
      <c r="B32" s="3">
        <v>0</v>
      </c>
      <c r="C32" s="3">
        <v>0</v>
      </c>
      <c r="D32" s="3">
        <v>0</v>
      </c>
      <c r="E32" s="3">
        <v>0</v>
      </c>
      <c r="F32" s="3">
        <v>51001</v>
      </c>
      <c r="G32" s="3">
        <v>0</v>
      </c>
      <c r="H32" s="3">
        <v>0</v>
      </c>
      <c r="I32" s="3">
        <v>29503</v>
      </c>
      <c r="J32" s="3">
        <v>0</v>
      </c>
      <c r="K32" s="3">
        <v>0</v>
      </c>
      <c r="L32" s="3">
        <v>163278</v>
      </c>
      <c r="M32" s="3">
        <v>0</v>
      </c>
      <c r="N32" s="3">
        <v>55393</v>
      </c>
      <c r="O32" s="3">
        <v>0</v>
      </c>
      <c r="P32" s="3">
        <v>0</v>
      </c>
      <c r="Q32" s="3">
        <v>34.51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102.82</v>
      </c>
      <c r="X32" s="0">
        <v>0</v>
      </c>
      <c r="Y32" s="3">
        <f t="shared" si="0"/>
        <v>0</v>
      </c>
      <c r="AC32" s="0" t="e">
        <f t="shared" si="1"/>
        <v>#N/A</v>
      </c>
      <c r="AD32" s="0" t="e">
        <f t="shared" si="2"/>
        <v>#N/A</v>
      </c>
      <c r="AE32" s="0" t="e">
        <f t="shared" si="3"/>
        <v>#N/A</v>
      </c>
    </row>
    <row r="33">
      <c r="A33" s="1" t="s">
        <v>70</v>
      </c>
      <c r="B33" s="3">
        <v>0</v>
      </c>
      <c r="C33" s="3">
        <v>0</v>
      </c>
      <c r="D33" s="3">
        <v>0</v>
      </c>
      <c r="E33" s="3">
        <v>0</v>
      </c>
      <c r="F33" s="3">
        <v>51001</v>
      </c>
      <c r="G33" s="3">
        <v>0</v>
      </c>
      <c r="H33" s="3">
        <v>0</v>
      </c>
      <c r="I33" s="3">
        <v>29503</v>
      </c>
      <c r="J33" s="3">
        <v>0</v>
      </c>
      <c r="K33" s="3">
        <v>0</v>
      </c>
      <c r="L33" s="3">
        <v>163278</v>
      </c>
      <c r="M33" s="3">
        <v>0</v>
      </c>
      <c r="N33" s="3">
        <v>55393</v>
      </c>
      <c r="O33" s="3">
        <v>0</v>
      </c>
      <c r="P33" s="3">
        <v>0</v>
      </c>
      <c r="Q33" s="3">
        <v>34.51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102.82</v>
      </c>
      <c r="X33" s="0">
        <v>0</v>
      </c>
      <c r="Y33" s="3">
        <f t="shared" si="0"/>
        <v>0</v>
      </c>
      <c r="AC33" s="0" t="e">
        <f t="shared" si="1"/>
        <v>#N/A</v>
      </c>
      <c r="AD33" s="0" t="e">
        <f t="shared" si="2"/>
        <v>#N/A</v>
      </c>
      <c r="AE33" s="0" t="e">
        <f t="shared" si="3"/>
        <v>#N/A</v>
      </c>
    </row>
    <row r="34">
      <c r="A34" s="1" t="s">
        <v>71</v>
      </c>
      <c r="B34" s="3">
        <v>0</v>
      </c>
      <c r="C34" s="3">
        <v>0</v>
      </c>
      <c r="D34" s="3">
        <v>0</v>
      </c>
      <c r="E34" s="3">
        <v>0</v>
      </c>
      <c r="F34" s="3">
        <v>51001</v>
      </c>
      <c r="G34" s="3">
        <v>0</v>
      </c>
      <c r="H34" s="3">
        <v>0</v>
      </c>
      <c r="I34" s="3">
        <v>29503</v>
      </c>
      <c r="J34" s="3">
        <v>0</v>
      </c>
      <c r="K34" s="3">
        <v>0</v>
      </c>
      <c r="L34" s="3">
        <v>163278</v>
      </c>
      <c r="M34" s="3">
        <v>0</v>
      </c>
      <c r="N34" s="3">
        <v>55393</v>
      </c>
      <c r="O34" s="3">
        <v>0</v>
      </c>
      <c r="P34" s="3">
        <v>0</v>
      </c>
      <c r="Q34" s="3">
        <v>34.51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102.82</v>
      </c>
      <c r="X34" s="0">
        <v>0</v>
      </c>
      <c r="Y34" s="3">
        <f t="shared" si="0"/>
        <v>0</v>
      </c>
      <c r="AC34" s="0" t="e">
        <f t="shared" si="1"/>
        <v>#N/A</v>
      </c>
      <c r="AD34" s="0" t="e">
        <f t="shared" si="2"/>
        <v>#N/A</v>
      </c>
      <c r="AE34" s="0" t="e">
        <f t="shared" si="3"/>
        <v>#N/A</v>
      </c>
    </row>
    <row r="3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Y35" s="3">
        <f t="shared" si="0"/>
        <v>0</v>
      </c>
      <c r="AC35" s="0" t="e">
        <f t="shared" si="1"/>
        <v>#N/A</v>
      </c>
      <c r="AD35" s="0" t="e">
        <f t="shared" si="2"/>
        <v>#N/A</v>
      </c>
      <c r="AE35" s="0" t="e">
        <f t="shared" si="3"/>
        <v>#N/A</v>
      </c>
    </row>
  </sheetData>
  <mergeCells>
    <mergeCell ref="P1:R1"/>
    <mergeCell ref="T1:W1"/>
    <mergeCell ref="B2:G2"/>
    <mergeCell ref="H2:I2"/>
    <mergeCell ref="B1:J1"/>
    <mergeCell ref="K2:L2"/>
    <mergeCell ref="M2:N2"/>
    <mergeCell ref="K1:O1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4408-4F9A-4DF2-B9FA-ABF34D11884A}">
  <dimension ref="A1:N4"/>
  <sheetViews>
    <sheetView view="pageBreakPreview" zoomScale="115" zoomScaleNormal="100" zoomScaleSheetLayoutView="115" workbookViewId="0">
      <selection activeCell="A3" sqref="A3"/>
    </sheetView>
  </sheetViews>
  <sheetFormatPr defaultRowHeight="15" x14ac:dyDescent="0.25"/>
  <cols>
    <col min="2" max="2" width="10.140625" customWidth="1"/>
    <col min="3" max="3" bestFit="1" width="12.28515625" customWidth="1"/>
  </cols>
  <sheetData>
    <row r="1">
      <c r="A1" s="25" t="s">
        <v>72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ht="15.75">
      <c r="A3" s="4" t="s">
        <v>73</v>
      </c>
      <c r="B3" s="5"/>
      <c r="C3" s="6">
        <f>SUM('Monthly rawdata'!B5:B35)</f>
        <v>0</v>
      </c>
      <c r="D3" s="6"/>
    </row>
    <row r="4" ht="15.75">
      <c r="A4" s="4" t="s">
        <v>74</v>
      </c>
      <c r="C4" s="7">
        <f>SUM('Monthly rawdata'!X5:X35)</f>
        <v>0</v>
      </c>
      <c r="D4" s="7"/>
    </row>
  </sheetData>
  <mergeCells>
    <mergeCell ref="A1:N2"/>
  </mergeCells>
  <pageMargins left="0.7" right="0.7" top="0.75" bottom="0.75" header="0.3" footer="0.3"/>
  <pageSetup paperSize="9" orientation="landscape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1F76-61D3-472E-9516-EDF7A3612CDE}">
  <dimension ref="A1:N4"/>
  <sheetViews>
    <sheetView view="pageBreakPreview" zoomScaleNormal="100" zoomScaleSheetLayoutView="100" workbookViewId="0">
      <selection activeCell="A3" sqref="A3"/>
    </sheetView>
  </sheetViews>
  <sheetFormatPr defaultRowHeight="15" x14ac:dyDescent="0.25"/>
  <cols>
    <col min="2" max="2" width="10.140625" customWidth="1"/>
    <col min="3" max="3" bestFit="1" width="12.28515625" customWidth="1"/>
  </cols>
  <sheetData>
    <row r="1">
      <c r="A1" s="25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ht="15.75">
      <c r="A3" s="4" t="s">
        <v>73</v>
      </c>
      <c r="B3" s="5"/>
      <c r="D3" s="27">
        <f>SUM('Monthly rawdata'!B5:B35)</f>
        <v>0</v>
      </c>
      <c r="E3" s="27"/>
    </row>
    <row r="4" ht="15.75">
      <c r="A4" s="4" t="s">
        <v>76</v>
      </c>
      <c r="C4" s="7"/>
      <c r="D4" s="26">
        <f>SUM('Monthly rawdata'!P5:P35)</f>
        <v>0</v>
      </c>
      <c r="E4" s="26"/>
    </row>
  </sheetData>
  <mergeCells>
    <mergeCell ref="A1:N2"/>
    <mergeCell ref="D4:E4"/>
    <mergeCell ref="D3:E3"/>
  </mergeCells>
  <pageMargins left="0.7" right="0.7" top="0.75" bottom="0.75" header="0.3" footer="0.3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Monthly rawdata</vt:lpstr>
      <vt:lpstr>Graph 1</vt:lpstr>
      <vt:lpstr>Graph 2</vt:lpstr>
      <vt:lpstr>'Graph 1'!Print_Area</vt:lpstr>
      <vt:lpstr>'Graph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CommonReport</dc:title>
  <dc:subject>Commonreport</dc:subject>
  <dc:creator>Hino</dc:creator>
  <cp:lastModifiedBy>Scapporo Scada</cp:lastModifiedBy>
  <cp:lastPrinted>2023-07-08T07:11:52Z</cp:lastPrinted>
  <dcterms:created xsi:type="dcterms:W3CDTF">2024-07-16T09:31:02Z</dcterms:created>
  <dcterms:modified xsi:type="dcterms:W3CDTF">2024-08-01T02:54:57Z</dcterms:modified>
</cp:coreProperties>
</file>