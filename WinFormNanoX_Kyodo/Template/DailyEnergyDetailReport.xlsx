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Program Files\ATPro\ATSCADA\Reports\"/>
    </mc:Choice>
  </mc:AlternateContent>
  <xr:revisionPtr revIDLastSave="0" documentId="13_ncr:1_{469EA9CE-090F-4941-A5E7-FCCD894835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Energy" sheetId="1" r:id="rId1"/>
    <sheet name="data" sheetId="13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<sst xmlns="http://schemas.openxmlformats.org/spreadsheetml/2006/main" count="16" uniqueCount="16">
  <si>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DAILY ENERGY EXPORT TOTAL REPORT </t>
  </si>
  <si>
    <t>Hour</t>
  </si>
  <si>
    <t xml:space="preserve">Energy Export
(kWh)</t>
  </si>
  <si>
    <t>Hmax</t>
  </si>
  <si>
    <t>Max</t>
  </si>
  <si>
    <t>Hmin</t>
  </si>
  <si>
    <t>Min</t>
  </si>
  <si>
    <t>∑E</t>
  </si>
  <si>
    <t>DAILY ENERGY</t>
  </si>
  <si>
    <t>DateTime</t>
  </si>
  <si>
    <t xml:space="preserve">Project 1
(kWh)</t>
  </si>
  <si>
    <t xml:space="preserve">Project 2
(kWh)</t>
  </si>
  <si>
    <t xml:space="preserve">Project 3
(kWh)</t>
  </si>
  <si>
    <t xml:space="preserve">Project 4
(kWh)</t>
  </si>
  <si>
    <t xml:space="preserve">Poi1
(kWh)</t>
  </si>
  <si>
    <t xml:space="preserve">Poi2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</si>
</sst>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hh]:mm"/>
    <numFmt numFmtId="165" formatCode="[$-1000000]h:mm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charset val="163"/>
      <scheme val="major"/>
    </font>
    <font>
      <b/>
      <sz val="12"/>
      <color theme="1"/>
      <name val="Calibri Light"/>
      <family val="1"/>
      <scheme val="maj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Protection="1"/>
    <xf numFmtId="43" applyNumberFormat="1" fontId="1" applyFont="1" fillId="0" borderId="0" applyProtection="1"/>
    <xf numFmtId="0" fontId="10" applyFont="1" fillId="0" borderId="0" applyProtection="1"/>
  </cellStyleXfs>
  <cellXfs count="23">
    <xf numFmtId="0" fontId="0" fillId="0" borderId="0" xfId="0" applyProtection="1"/>
    <xf numFmtId="0" fontId="6" applyFont="1" fillId="0" borderId="0" xfId="0" applyProtection="1"/>
    <xf numFmtId="0" fontId="7" applyFont="1" fillId="0" borderId="0" xfId="0" applyProtection="1"/>
    <xf numFmtId="164" applyNumberFormat="1" fontId="4" applyFont="1" fillId="2" applyFill="1" borderId="6" applyBorder="1" xfId="0" applyProtection="1" applyAlignment="1">
      <alignment horizontal="center" vertical="center"/>
    </xf>
    <xf numFmtId="164" applyNumberFormat="1" fontId="4" applyFont="1" fillId="2" applyFill="1" borderId="7" applyBorder="1" xfId="0" applyProtection="1" applyAlignment="1">
      <alignment horizontal="center" vertical="center"/>
    </xf>
    <xf numFmtId="0" fontId="8" applyFont="1" fillId="0" borderId="10" applyBorder="1" xfId="0" applyProtection="1" applyAlignment="1">
      <alignment horizontal="center" vertical="center"/>
    </xf>
    <xf numFmtId="0" fontId="9" applyFont="1" fillId="0" borderId="11" applyBorder="1" xfId="0" applyProtection="1" applyAlignment="1">
      <alignment horizontal="center" vertical="center"/>
    </xf>
    <xf numFmtId="0" fontId="9" applyFont="1" fillId="4" applyFill="1" borderId="11" applyBorder="1" xfId="0" applyProtection="1" applyAlignment="1">
      <alignment horizontal="center" vertical="center"/>
    </xf>
    <xf numFmtId="165" applyNumberFormat="1" fontId="7" applyFont="1" fillId="0" borderId="3" applyBorder="1" xfId="0" applyProtection="1" applyAlignment="1">
      <alignment horizontal="center"/>
    </xf>
    <xf numFmtId="2" applyNumberFormat="1" fontId="7" applyFont="1" fillId="4" applyFill="1" borderId="13" applyBorder="1" xfId="0" applyProtection="1" applyAlignment="1">
      <alignment horizontal="center"/>
    </xf>
    <xf numFmtId="165" applyNumberFormat="1" fontId="7" applyFont="1" fillId="0" borderId="1" applyBorder="1" xfId="0" applyProtection="1" applyAlignment="1">
      <alignment horizontal="center"/>
    </xf>
    <xf numFmtId="2" applyNumberFormat="1" fontId="7" applyFont="1" fillId="5" applyFill="1" borderId="13" applyBorder="1" xfId="0" applyProtection="1" applyAlignment="1">
      <alignment horizontal="center"/>
    </xf>
    <xf numFmtId="2" applyNumberFormat="1" fontId="7" applyFont="1" fillId="2" applyFill="1" borderId="4" applyBorder="1" xfId="0" applyProtection="1" applyAlignment="1">
      <alignment horizontal="center"/>
    </xf>
    <xf numFmtId="0" fontId="8" applyFont="1" fillId="2" applyFill="1" borderId="12" applyBorder="1" xfId="0" applyProtection="1" applyAlignment="1">
      <alignment horizontal="center" vertical="center"/>
    </xf>
    <xf numFmtId="0" fontId="9" applyFont="1" fillId="5" applyFill="1" borderId="11" applyBorder="1" xfId="0" applyProtection="1" applyAlignment="1">
      <alignment horizontal="center" vertical="center"/>
    </xf>
    <xf numFmtId="0" fontId="0" fillId="6" applyFill="1" borderId="5" applyBorder="1" xfId="0" applyProtection="1" applyAlignment="1">
      <alignment horizontal="center" vertical="center" wrapText="1"/>
    </xf>
    <xf numFmtId="0" fontId="0" fillId="6" applyFill="1" borderId="14" applyBorder="1" xfId="0" applyProtection="1" applyAlignment="1">
      <alignment horizontal="center" vertical="center" wrapText="1"/>
    </xf>
    <xf numFmtId="0" fontId="0" fillId="6" applyFill="1" borderId="5" applyBorder="1" xfId="0" applyProtection="1" applyAlignment="1">
      <alignment horizontal="center"/>
    </xf>
    <xf numFmtId="2" applyNumberFormat="1" fontId="3" applyFont="1" fillId="3" applyFill="1" borderId="9" applyBorder="1" xfId="0" applyProtection="1" applyAlignment="1">
      <alignment horizontal="center" vertical="center" wrapText="1"/>
    </xf>
    <xf numFmtId="1" applyNumberFormat="1" fontId="2" applyFont="1" fillId="2" applyFill="1" borderId="8" applyBorder="1" xfId="0" applyProtection="1" applyAlignment="1">
      <alignment horizontal="center" vertical="center"/>
    </xf>
    <xf numFmtId="0" fontId="0" fillId="6" applyFill="1" borderId="0" xfId="0" applyProtection="1" applyAlignment="1">
      <alignment horizontal="center"/>
    </xf>
    <xf numFmtId="0" fontId="0" fillId="6" applyFill="1" borderId="15" applyBorder="1" xfId="0" applyProtection="1" applyAlignment="1">
      <alignment horizontal="center"/>
    </xf>
    <xf numFmtId="2" applyNumberFormat="1" fontId="5" applyFont="1" fillId="0" borderId="2" applyBorder="1" xfId="0" applyProtection="1" applyAlignment="1">
      <alignment horizontal="center" vertical="center"/>
      <protection locked="0"/>
    </xf>
  </cellXfs>
  <cellStyles count="3">
    <cellStyle name="Comma 3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Daily Energy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Chart (kWh)</a:t>
            </a:r>
            <a:endParaRPr lang="vi-V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Energy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DailyEnergy!$B$11:$B$34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1-4C96-95E8-7567BEA70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962216"/>
        <c:axId val="165964568"/>
        <c:extLst/>
      </c:barChart>
      <c:catAx>
        <c:axId val="165962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Time of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day</a:t>
                </a:r>
                <a:endParaRPr lang="vi-VN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4568"/>
        <c:crosses val="autoZero"/>
        <c:auto val="1"/>
        <c:lblAlgn val="ctr"/>
        <c:lblOffset val="100"/>
        <c:noMultiLvlLbl val="0"/>
      </c:catAx>
      <c:valAx>
        <c:axId val="16596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 (</a:t>
                </a:r>
                <a:r>
                  <a:rPr lang="en-US" sz="1200" b="1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200" b="1" i="0" u="none" strike="noStrike" baseline="0">
                    <a:solidFill>
                      <a:sysClr val="windowText" lastClr="000000"/>
                    </a:solidFill>
                    <a:effectLst/>
                  </a:rPr>
                  <a:t>W</a:t>
                </a: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vi-VN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2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324969</xdr:colOff>
      <xdr:row>9</xdr:row>
      <xdr:rowOff>2134</xdr:rowOff>
    </xdr:from>
    <xdr:to>
      <xdr:col>18</xdr:col>
      <xdr:colOff>336176</xdr:colOff>
      <xdr:row>39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C5E1C0-A521-40EB-B6BD-747B78F8F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44823</xdr:colOff>
      <xdr:row>0</xdr:row>
      <xdr:rowOff>44824</xdr:rowOff>
    </xdr:from>
    <xdr:to>
      <xdr:col>2</xdr:col>
      <xdr:colOff>38100</xdr:colOff>
      <xdr:row>3</xdr:row>
      <xdr:rowOff>53851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962D7C-D735-4EE2-BCBB-C6D5459B1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23" y="44824"/>
          <a:ext cx="2649073" cy="58052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</xdr:row>
      <xdr:rowOff>38100</xdr:rowOff>
    </xdr:from>
    <xdr:to>
      <xdr:col>3</xdr:col>
      <xdr:colOff>276225</xdr:colOff>
      <xdr:row>6</xdr:row>
      <xdr:rowOff>253901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7D55F6-A309-49CE-9431-C8399A54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09600"/>
          <a:ext cx="3479365" cy="787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7:B39"/>
  <sheetViews>
    <sheetView tabSelected="1" topLeftCell="A4" zoomScaleNormal="100" workbookViewId="0">
      <selection activeCell="B12" sqref="B12"/>
    </sheetView>
  </sheetViews>
  <sheetFormatPr defaultRowHeight="15" x14ac:dyDescent="0.25"/>
  <cols>
    <col min="1" max="1" width="16" customWidth="1"/>
    <col min="2" max="2" width="23.7109375" customWidth="1"/>
  </cols>
  <sheetData>
    <row r="7" ht="20.45" customHeight="1">
      <c r="A7" s="1"/>
      <c r="B7" s="1"/>
    </row>
    <row r="8" ht="20.45" customHeight="1">
      <c r="A8" s="1" t="s">
        <v>0</v>
      </c>
      <c r="B8" s="1"/>
    </row>
    <row r="9" ht="15.75">
      <c r="A9" s="2"/>
      <c r="B9" s="2"/>
    </row>
    <row r="10" ht="29.25">
      <c r="A10" s="19" t="s">
        <v>1</v>
      </c>
      <c r="B10" s="18" t="s">
        <v>2</v>
      </c>
    </row>
    <row r="11" ht="15.75">
      <c r="A11" s="3">
        <v>0.041666666666666664</v>
      </c>
      <c r="B11" s="22">
        <f>data!B3</f>
        <v>0</v>
      </c>
    </row>
    <row r="12" ht="15.75">
      <c r="A12" s="3">
        <f>A11+1/24</f>
        <v>0.083333333333333329</v>
      </c>
      <c r="B12" s="22">
        <f>data!B4</f>
        <v>0</v>
      </c>
    </row>
    <row r="13" ht="15.75">
      <c r="A13" s="3">
        <f ref="A13:A34" t="shared" si="0">A12+1/24</f>
        <v>0.125</v>
      </c>
      <c r="B13" s="22">
        <f>data!B5</f>
        <v>0</v>
      </c>
    </row>
    <row r="14" ht="15.75">
      <c r="A14" s="3">
        <f t="shared" si="0"/>
        <v>0.16666666666666666</v>
      </c>
      <c r="B14" s="22">
        <f>data!B6</f>
        <v>0</v>
      </c>
    </row>
    <row r="15" ht="15.75">
      <c r="A15" s="3">
        <f t="shared" si="0"/>
        <v>0.20833333333333331</v>
      </c>
      <c r="B15" s="22">
        <f>data!B7</f>
        <v>0</v>
      </c>
    </row>
    <row r="16" ht="15.75">
      <c r="A16" s="3">
        <f t="shared" si="0"/>
        <v>0.24999999999999997</v>
      </c>
      <c r="B16" s="22">
        <f>data!B8</f>
        <v>0</v>
      </c>
    </row>
    <row r="17" ht="15.75">
      <c r="A17" s="3">
        <f t="shared" si="0"/>
        <v>0.29166666666666663</v>
      </c>
      <c r="B17" s="22">
        <f>data!B9</f>
        <v>0</v>
      </c>
    </row>
    <row r="18" ht="15.75">
      <c r="A18" s="3">
        <f t="shared" si="0"/>
        <v>0.33333333333333331</v>
      </c>
      <c r="B18" s="22">
        <f>data!B10</f>
        <v>0</v>
      </c>
    </row>
    <row r="19" ht="15.75">
      <c r="A19" s="3">
        <f t="shared" si="0"/>
        <v>0.375</v>
      </c>
      <c r="B19" s="22">
        <f>data!B11</f>
        <v>0</v>
      </c>
    </row>
    <row r="20" ht="15.75">
      <c r="A20" s="3">
        <f t="shared" si="0"/>
        <v>0.41666666666666669</v>
      </c>
      <c r="B20" s="22">
        <f>data!B12</f>
        <v>0</v>
      </c>
    </row>
    <row r="21" ht="15.75">
      <c r="A21" s="3">
        <f t="shared" si="0"/>
        <v>0.45833333333333337</v>
      </c>
      <c r="B21" s="22">
        <f>data!B13</f>
        <v>0</v>
      </c>
    </row>
    <row r="22" ht="15.75">
      <c r="A22" s="3">
        <f t="shared" si="0"/>
        <v>0.5</v>
      </c>
      <c r="B22" s="22">
        <f>data!B14</f>
        <v>0</v>
      </c>
    </row>
    <row r="23" ht="15.75">
      <c r="A23" s="3">
        <f t="shared" si="0"/>
        <v>0.54166666666666663</v>
      </c>
      <c r="B23" s="22">
        <f>data!B15</f>
        <v>0</v>
      </c>
    </row>
    <row r="24" ht="15.75">
      <c r="A24" s="3">
        <f t="shared" si="0"/>
        <v>0.58333333333333326</v>
      </c>
      <c r="B24" s="22">
        <f>data!B16</f>
        <v>0</v>
      </c>
    </row>
    <row r="25" ht="15.75">
      <c r="A25" s="3">
        <f t="shared" si="0"/>
        <v>0.62499999999999989</v>
      </c>
      <c r="B25" s="22">
        <f>data!B17</f>
        <v>0</v>
      </c>
    </row>
    <row r="26" ht="15.75">
      <c r="A26" s="3">
        <f t="shared" si="0"/>
        <v>0.66666666666666652</v>
      </c>
      <c r="B26" s="22">
        <f>data!B18</f>
        <v>0</v>
      </c>
    </row>
    <row r="27" ht="15.75">
      <c r="A27" s="3">
        <f t="shared" si="0"/>
        <v>0.70833333333333315</v>
      </c>
      <c r="B27" s="22">
        <f>data!B19</f>
        <v>0</v>
      </c>
    </row>
    <row r="28" ht="15.75">
      <c r="A28" s="3">
        <f t="shared" si="0"/>
        <v>0.74999999999999978</v>
      </c>
      <c r="B28" s="22">
        <f>data!B20</f>
        <v>0</v>
      </c>
    </row>
    <row r="29" ht="15.75">
      <c r="A29" s="3">
        <f t="shared" si="0"/>
        <v>0.79166666666666641</v>
      </c>
      <c r="B29" s="22">
        <f>data!B21</f>
        <v>0</v>
      </c>
    </row>
    <row r="30" ht="15.75">
      <c r="A30" s="3">
        <f t="shared" si="0"/>
        <v>0.833333333333333</v>
      </c>
      <c r="B30" s="22">
        <f>data!B22</f>
        <v>0</v>
      </c>
    </row>
    <row r="31" ht="15.75">
      <c r="A31" s="3">
        <f t="shared" si="0"/>
        <v>0.87499999999999967</v>
      </c>
      <c r="B31" s="22">
        <f>data!B23</f>
        <v>0</v>
      </c>
    </row>
    <row r="32" ht="15.75">
      <c r="A32" s="3">
        <f t="shared" si="0"/>
        <v>0.9166666666666663</v>
      </c>
      <c r="B32" s="22">
        <f>data!B24</f>
        <v>0</v>
      </c>
    </row>
    <row r="33" ht="15.75">
      <c r="A33" s="3">
        <f t="shared" si="0"/>
        <v>0.95833333333333293</v>
      </c>
      <c r="B33" s="22">
        <f>data!B25</f>
        <v>0</v>
      </c>
    </row>
    <row r="34" ht="16.5">
      <c r="A34" s="4">
        <f t="shared" si="0"/>
        <v>0.99999999999999956</v>
      </c>
      <c r="B34" s="22">
        <f>data!B26</f>
        <v>0</v>
      </c>
    </row>
    <row r="35" ht="16.9" customHeight="1">
      <c r="A35" s="5" t="s">
        <v>3</v>
      </c>
      <c r="B35" s="8">
        <f>INDEX(A11:A34,MATCH(MAX(B11:B34),B11:B34,0))</f>
        <v>0.041666666666666664</v>
      </c>
    </row>
    <row r="36" ht="16.9" customHeight="1">
      <c r="A36" s="7" t="s">
        <v>4</v>
      </c>
      <c r="B36" s="9">
        <f>MAX(B11:B34)</f>
        <v>0</v>
      </c>
    </row>
    <row r="37" ht="16.9" customHeight="1">
      <c r="A37" s="6" t="s">
        <v>5</v>
      </c>
      <c r="B37" s="10">
        <f>INDEX(A11:A34,MATCH(MIN(B11:B34),B11:B34,0))</f>
        <v>0.041666666666666664</v>
      </c>
    </row>
    <row r="38" ht="16.9" customHeight="1">
      <c r="A38" s="14" t="s">
        <v>6</v>
      </c>
      <c r="B38" s="11">
        <f>MIN(B11:B34)</f>
        <v>0</v>
      </c>
    </row>
    <row r="39" ht="16.9" customHeight="1">
      <c r="A39" s="13" t="s">
        <v>7</v>
      </c>
      <c r="B39" s="12">
        <f>SUM(B11:B34)</f>
        <v>0</v>
      </c>
    </row>
  </sheetData>
  <phoneticPr fontId="8" type="noConversion"/>
  <pageMargins left="0.7" right="0.7" top="0.75" bottom="0.75" header="0.3" footer="0.3"/>
  <pageSetup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selection activeCell="H3" sqref="H3"/>
    </sheetView>
  </sheetViews>
  <sheetFormatPr defaultRowHeight="15" x14ac:dyDescent="0.25"/>
  <cols>
    <col min="1" max="1" width="12.1802740097046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20" t="s">
        <v>8</v>
      </c>
      <c r="B1" s="20"/>
      <c r="C1" s="20"/>
      <c r="D1" s="20"/>
      <c r="E1" s="20"/>
      <c r="F1" s="20"/>
      <c r="G1" s="21"/>
    </row>
    <row r="2" ht="30.75">
      <c r="A2" s="17" t="s">
        <v>9</v>
      </c>
      <c r="B2" s="16" t="s">
        <v>10</v>
      </c>
      <c r="C2" s="15" t="s">
        <v>11</v>
      </c>
      <c r="D2" s="15" t="s">
        <v>12</v>
      </c>
      <c r="E2" s="15" t="s">
        <v>13</v>
      </c>
      <c r="F2" s="15" t="s">
        <v>14</v>
      </c>
      <c r="G2" s="15" t="s">
        <v>15</v>
      </c>
    </row>
    <row r="3">
      <c r="A3" s="0">
        <v>45989</v>
      </c>
      <c r="B3" s="0">
        <v>0</v>
      </c>
    </row>
    <row r="4">
      <c r="A4" s="0">
        <v>45989.0416666667</v>
      </c>
      <c r="B4" s="0">
        <v>0</v>
      </c>
    </row>
    <row r="5">
      <c r="A5" s="0">
        <v>45989.0833333333</v>
      </c>
      <c r="B5" s="0">
        <v>0</v>
      </c>
    </row>
    <row r="6">
      <c r="A6" s="0">
        <v>45989.125</v>
      </c>
      <c r="B6" s="0">
        <v>0</v>
      </c>
    </row>
    <row r="7">
      <c r="A7" s="0">
        <v>45989.1666666667</v>
      </c>
      <c r="B7" s="0">
        <v>0</v>
      </c>
    </row>
    <row r="8">
      <c r="A8" s="0">
        <v>45989.2083333333</v>
      </c>
      <c r="B8" s="0">
        <v>0</v>
      </c>
    </row>
    <row r="9">
      <c r="A9" s="0">
        <v>45989.25</v>
      </c>
      <c r="B9" s="0">
        <v>0</v>
      </c>
    </row>
    <row r="10">
      <c r="A10" s="0">
        <v>45989.2916666667</v>
      </c>
      <c r="B10" s="0">
        <v>0</v>
      </c>
    </row>
    <row r="11">
      <c r="A11" s="0">
        <v>45989.3333333333</v>
      </c>
      <c r="B11" s="0">
        <v>0</v>
      </c>
    </row>
    <row r="12">
      <c r="A12" s="0">
        <v>45989.375</v>
      </c>
      <c r="B12" s="0">
        <v>0</v>
      </c>
    </row>
    <row r="13">
      <c r="A13" s="0">
        <v>45989.4166666667</v>
      </c>
      <c r="B13" s="0">
        <v>0</v>
      </c>
    </row>
    <row r="14">
      <c r="A14" s="0">
        <v>45989.4583333333</v>
      </c>
      <c r="B14" s="0">
        <v>0</v>
      </c>
    </row>
    <row r="15">
      <c r="A15" s="0">
        <v>45989.5</v>
      </c>
      <c r="B15" s="0">
        <v>0</v>
      </c>
    </row>
    <row r="16">
      <c r="A16" s="0">
        <v>45989.5416666667</v>
      </c>
      <c r="B16" s="0">
        <v>0</v>
      </c>
    </row>
    <row r="17">
      <c r="A17" s="0">
        <v>45989.5833333333</v>
      </c>
      <c r="B17" s="0">
        <v>0</v>
      </c>
    </row>
    <row r="18">
      <c r="A18" s="0">
        <v>45989.625</v>
      </c>
      <c r="B18" s="0">
        <v>0</v>
      </c>
    </row>
    <row r="19">
      <c r="A19" s="0">
        <v>45989.6666666667</v>
      </c>
      <c r="B19" s="0">
        <v>0</v>
      </c>
    </row>
    <row r="20">
      <c r="A20" s="0">
        <v>45989.7083333333</v>
      </c>
      <c r="B20" s="0">
        <v>0</v>
      </c>
    </row>
    <row r="21">
      <c r="A21" s="0">
        <v>45989.75</v>
      </c>
      <c r="B21" s="0">
        <v>0</v>
      </c>
    </row>
    <row r="22">
      <c r="A22" s="0">
        <v>45989.7916666667</v>
      </c>
      <c r="B22" s="0">
        <v>0</v>
      </c>
    </row>
    <row r="23">
      <c r="A23" s="0">
        <v>45989.8333333333</v>
      </c>
      <c r="B23" s="0">
        <v>0</v>
      </c>
    </row>
    <row r="24">
      <c r="A24" s="0">
        <v>45989.875</v>
      </c>
      <c r="B24" s="0">
        <v>0</v>
      </c>
    </row>
    <row r="25">
      <c r="A25" s="0">
        <v>45989.9166666667</v>
      </c>
      <c r="B25" s="0">
        <v>0</v>
      </c>
    </row>
    <row r="26">
      <c r="A26" s="0">
        <v>45989.9583333333</v>
      </c>
      <c r="B26" s="0">
        <v>0</v>
      </c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41643-DA38-4FE9-AD85-B7782B2950D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DailyEnergy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Scapporo Scada</cp:lastModifiedBy>
  <dcterms:created xsi:type="dcterms:W3CDTF">2015-06-05T18:17:20Z</dcterms:created>
  <dcterms:modified xsi:type="dcterms:W3CDTF">2024-06-14T04:12:49Z</dcterms:modified>
</cp:coreProperties>
</file>