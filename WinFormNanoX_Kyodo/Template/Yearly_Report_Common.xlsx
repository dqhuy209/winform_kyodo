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Program Files\ATPro\ATSCADA\Reports\"/>
    </mc:Choice>
  </mc:AlternateContent>
  <xr:revisionPtr revIDLastSave="0" documentId="13_ncr:1_{6FAC9F2D-1BA1-4D05-99EA-ED2AE6AFF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arly rawdata" sheetId="1" r:id="rId1"/>
    <sheet name="Graph 1" sheetId="3" r:id="rId2"/>
    <sheet name="Graph 2" sheetId="5" r:id="rId3"/>
  </sheets>
  <definedNames>
    <definedName name="_xlnm.Print_Area" localSheetId="2">'Graph 2'!$A$1:$N$32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<sst xmlns="http://schemas.openxmlformats.org/spreadsheetml/2006/main" count="49" uniqueCount="49">
  <si>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CO2 coeffient</t>
  </si>
  <si>
    <t>Normal hour rate</t>
  </si>
  <si>
    <t>Peak hour rate</t>
  </si>
  <si>
    <t>ENERGY</t>
  </si>
  <si>
    <t>CO2 reduction</t>
  </si>
  <si>
    <t>POWER</t>
  </si>
  <si>
    <t>METEOROLOGICAL</t>
  </si>
  <si>
    <t>Money Savings</t>
  </si>
  <si>
    <t>GRAPH</t>
  </si>
  <si>
    <t>Date</t>
  </si>
  <si>
    <t>Monthly energy</t>
  </si>
  <si>
    <t>Monthly energy (Normal hour)</t>
  </si>
  <si>
    <t>Monthly energy (Peak hour)</t>
  </si>
  <si>
    <t>Yearly cumulative energy</t>
  </si>
  <si>
    <t>Life time cumulative energy</t>
  </si>
  <si>
    <t>Monthly CO2 emission reduction</t>
  </si>
  <si>
    <t>Yearly cumulative</t>
  </si>
  <si>
    <t>Cumulative from COD</t>
  </si>
  <si>
    <t>Monthly Peak power</t>
  </si>
  <si>
    <t>Minimum of PV temperature</t>
  </si>
  <si>
    <t>Maximum of PV temperature</t>
  </si>
  <si>
    <t>Average of PV temperature</t>
  </si>
  <si>
    <t>Monthly Irradiance</t>
  </si>
  <si>
    <t>Yearly cumulative irradiance</t>
  </si>
  <si>
    <t>(mVND)</t>
  </si>
  <si>
    <t>Money savings</t>
  </si>
  <si>
    <t>(kWh)</t>
  </si>
  <si>
    <t>(Tons)</t>
  </si>
  <si>
    <t>(kW)</t>
  </si>
  <si>
    <t>(C)</t>
  </si>
  <si>
    <t>(kWh/m2)</t>
  </si>
  <si>
    <t xml:space="preserve"> (mVND)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</si>
  <si>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</si>
  <si>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</si>
  <si>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</si>
  <si>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</si>
  <si>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</si>
  <si>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</si>
  <si>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</si>
  <si>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</si>
  <si>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</si>
  <si>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</si>
  <si>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</si>
  <si>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</si>
  <si>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 xml:space="preserve">YEARLY EKV TOTAL SOLAR ENERGY AND MONEY SAVINGS </t>
  </si>
  <si>
    <t>Total solar energy:</t>
  </si>
  <si>
    <t>Total money savings:</t>
  </si>
  <si>
    <t>MONTHLY EKV TOTAL SOLAR ENERGY AND CO2 EMISSION REDUCTION</t>
  </si>
  <si>
    <t>Total CO2 emission reduction: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</si>
</sst>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-yyyy"/>
    <numFmt numFmtId="165" formatCode="#,#00\ &quot;kWh&quot;"/>
    <numFmt numFmtId="166" formatCode="#,#00\ &quot;mVND&quot;"/>
    <numFmt numFmtId="167" formatCode="#,#00\ &quot;Tons&quot;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Protection="1"/>
    <xf numFmtId="0" fontId="1" applyFont="1" fillId="10" applyFill="1" borderId="0" applyProtection="1"/>
    <xf numFmtId="0" fontId="1" applyFont="1" fillId="14" applyFill="1" borderId="0" applyProtection="1"/>
    <xf numFmtId="0" fontId="1" applyFont="1" fillId="18" applyFill="1" borderId="0" applyProtection="1"/>
    <xf numFmtId="0" fontId="1" applyFont="1" fillId="22" applyFill="1" borderId="0" applyProtection="1"/>
    <xf numFmtId="0" fontId="1" applyFont="1" fillId="26" applyFill="1" borderId="0" applyProtection="1"/>
    <xf numFmtId="0" fontId="1" applyFont="1" fillId="30" applyFill="1" borderId="0" applyProtection="1"/>
    <xf numFmtId="0" fontId="1" applyFont="1" fillId="11" applyFill="1" borderId="0" applyProtection="1"/>
    <xf numFmtId="0" fontId="1" applyFont="1" fillId="15" applyFill="1" borderId="0" applyProtection="1"/>
    <xf numFmtId="0" fontId="1" applyFont="1" fillId="19" applyFill="1" borderId="0" applyProtection="1"/>
    <xf numFmtId="0" fontId="1" applyFont="1" fillId="23" applyFill="1" borderId="0" applyProtection="1"/>
    <xf numFmtId="0" fontId="1" applyFont="1" fillId="27" applyFill="1" borderId="0" applyProtection="1"/>
    <xf numFmtId="0" fontId="1" applyFont="1" fillId="31" applyFill="1" borderId="0" applyProtection="1"/>
    <xf numFmtId="0" fontId="17" applyFont="1" fillId="12" applyFill="1" borderId="0" applyProtection="1"/>
    <xf numFmtId="0" fontId="17" applyFont="1" fillId="16" applyFill="1" borderId="0" applyProtection="1"/>
    <xf numFmtId="0" fontId="17" applyFont="1" fillId="20" applyFill="1" borderId="0" applyProtection="1"/>
    <xf numFmtId="0" fontId="17" applyFont="1" fillId="24" applyFill="1" borderId="0" applyProtection="1"/>
    <xf numFmtId="0" fontId="17" applyFont="1" fillId="28" applyFill="1" borderId="0" applyProtection="1"/>
    <xf numFmtId="0" fontId="17" applyFont="1" fillId="32" applyFill="1" borderId="0" applyProtection="1"/>
    <xf numFmtId="0" fontId="17" applyFont="1" fillId="9" applyFill="1" borderId="0" applyProtection="1"/>
    <xf numFmtId="0" fontId="17" applyFont="1" fillId="13" applyFill="1" borderId="0" applyProtection="1"/>
    <xf numFmtId="0" fontId="17" applyFont="1" fillId="17" applyFill="1" borderId="0" applyProtection="1"/>
    <xf numFmtId="0" fontId="17" applyFont="1" fillId="21" applyFill="1" borderId="0" applyProtection="1"/>
    <xf numFmtId="0" fontId="17" applyFont="1" fillId="25" applyFill="1" borderId="0" applyProtection="1"/>
    <xf numFmtId="0" fontId="17" applyFont="1" fillId="29" applyFill="1" borderId="0" applyProtection="1"/>
    <xf numFmtId="0" fontId="7" applyFont="1" fillId="3" applyFill="1" borderId="0" applyProtection="1"/>
    <xf numFmtId="0" fontId="11" applyFont="1" fillId="6" applyFill="1" borderId="4" applyBorder="1" applyProtection="1"/>
    <xf numFmtId="0" fontId="13" applyFont="1" fillId="7" applyFill="1" borderId="7" applyBorder="1" applyProtection="1"/>
    <xf numFmtId="0" fontId="15" applyFont="1" fillId="0" borderId="0" applyProtection="1"/>
    <xf numFmtId="0" fontId="6" applyFont="1" fillId="2" applyFill="1" borderId="0" applyProtection="1"/>
    <xf numFmtId="0" fontId="3" applyFont="1" fillId="0" borderId="1" applyBorder="1" applyProtection="1"/>
    <xf numFmtId="0" fontId="4" applyFont="1" fillId="0" borderId="2" applyBorder="1" applyProtection="1"/>
    <xf numFmtId="0" fontId="5" applyFont="1" fillId="0" borderId="3" applyBorder="1" applyProtection="1"/>
    <xf numFmtId="0" fontId="5" applyFont="1" fillId="0" borderId="0" applyProtection="1"/>
    <xf numFmtId="0" fontId="9" applyFont="1" fillId="5" applyFill="1" borderId="4" applyBorder="1" applyProtection="1"/>
    <xf numFmtId="0" fontId="12" applyFont="1" fillId="0" borderId="6" applyBorder="1" applyProtection="1"/>
    <xf numFmtId="0" fontId="8" applyFont="1" fillId="4" applyFill="1" borderId="0" applyProtection="1"/>
    <xf numFmtId="0" fontId="1" applyFont="1" fillId="8" applyFill="1" borderId="8" applyBorder="1" applyProtection="1"/>
    <xf numFmtId="0" fontId="10" applyFont="1" fillId="6" applyFill="1" borderId="5" applyBorder="1" applyProtection="1"/>
    <xf numFmtId="0" fontId="2" applyFont="1" fillId="0" borderId="0" applyProtection="1"/>
    <xf numFmtId="0" fontId="16" applyFont="1" fillId="0" borderId="9" applyBorder="1" applyProtection="1"/>
    <xf numFmtId="0" fontId="14" applyFont="1" fillId="0" borderId="0" applyProtection="1"/>
  </cellStyleXfs>
  <cellXfs count="16">
    <xf numFmtId="0" fontId="0" fillId="0" borderId="0" xfId="0" applyProtection="1"/>
    <xf numFmtId="0" fontId="0" fillId="0" borderId="0" xfId="0" applyProtection="1" applyAlignment="1">
      <alignment vertical="center" wrapText="1"/>
    </xf>
    <xf numFmtId="0" fontId="0" fillId="35" applyFill="1" borderId="0" xfId="0" applyProtection="1"/>
    <xf numFmtId="164" applyNumberFormat="1" fontId="0" fillId="0" borderId="0" xfId="0" applyProtection="1"/>
    <xf numFmtId="0" fontId="0" fillId="0" borderId="0" xfId="0" applyProtection="1">
      <alignment wrapText="1"/>
    </xf>
    <xf numFmtId="0" fontId="16" applyFont="1" fillId="0" borderId="0" xfId="0" applyProtection="1"/>
    <xf numFmtId="0" fontId="19" applyFont="1" fillId="0" borderId="0" xfId="0" applyProtection="1"/>
    <xf numFmtId="165" applyNumberFormat="1" fontId="20" applyFont="1" fillId="0" borderId="0" xfId="0" applyProtection="1"/>
    <xf numFmtId="166" applyNumberFormat="1" fontId="20" applyFont="1" fillId="0" borderId="0" xfId="0" applyProtection="1" applyAlignment="1">
      <alignment vertical="center"/>
    </xf>
    <xf numFmtId="0" fontId="0" fillId="0" borderId="0" xfId="0" applyProtection="1" applyAlignment="1">
      <alignment horizontal="left" wrapText="1"/>
    </xf>
    <xf numFmtId="0" fontId="16" applyFont="1" fillId="33" applyFill="1" borderId="0" xfId="0" applyProtection="1" applyAlignment="1">
      <alignment horizontal="center"/>
    </xf>
    <xf numFmtId="0" fontId="14" applyFont="1" fillId="34" applyFill="1" borderId="0" xfId="0" applyProtection="1" applyAlignment="1">
      <alignment horizontal="center"/>
    </xf>
    <xf numFmtId="0" fontId="0" fillId="36" applyFill="1" borderId="0" xfId="0" applyProtection="1" applyAlignment="1">
      <alignment horizontal="center"/>
    </xf>
    <xf numFmtId="0" fontId="18" applyFont="1" fillId="0" borderId="0" xfId="0" applyProtection="1" applyAlignment="1">
      <alignment horizontal="center" vertical="center"/>
    </xf>
    <xf numFmtId="165" applyNumberFormat="1" fontId="20" applyFont="1" fillId="0" borderId="0" xfId="0" applyProtection="1" applyAlignment="1">
      <alignment horizontal="right"/>
    </xf>
    <xf numFmtId="167" applyNumberFormat="1" fontId="20" applyFont="1" fillId="0" borderId="0" xfId="0" applyProtection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81776253124312E-2"/>
          <c:y val="3.2535908761552899E-2"/>
          <c:w val="0.84353173822686789"/>
          <c:h val="0.845118852357431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'Yearly rawdata'!$B$3:$B$4</c:f>
              <c:strCache>
                <c:ptCount val="2"/>
                <c:pt idx="0">
                  <c:v>Monthly energy</c:v>
                </c:pt>
                <c:pt idx="1">
                  <c:v>(kWh)</c:v>
                </c:pt>
              </c:strCache>
            </c:strRef>
          </c:tx>
          <c:spPr>
            <a:solidFill>
              <a:srgbClr val="00B050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'Yearly rawdata'!$A$5:$A$16</c:f>
              <c:numCache>
                <c:formatCode>mm\-yyyy</c:formatCode>
                <c:ptCount val="12"/>
              </c:numCache>
            </c:numRef>
          </c:cat>
          <c:val>
            <c:numRef>
              <c:f>'Yearly rawdata'!$U$5:$U$16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9-4C67-B160-1C1F472C51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1755181232"/>
        <c:axId val="1766944480"/>
      </c:barChart>
      <c:lineChart>
        <c:grouping val="standard"/>
        <c:varyColors val="0"/>
        <c:ser>
          <c:idx val="1"/>
          <c:order val="1"/>
          <c:tx>
            <c:strRef>
              <c:f>'Yearly rawdata'!$P$2:$P$3</c:f>
              <c:strCache>
                <c:ptCount val="2"/>
                <c:pt idx="0">
                  <c:v>Money Savings</c:v>
                </c:pt>
                <c:pt idx="1">
                  <c:v>(mVND)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solidFill>
                <a:srgbClr val="FFC000">
                  <a:alpha val="40000"/>
                </a:srgbClr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'Yearly rawdata'!$A$5:$A$16</c:f>
              <c:numCache>
                <c:formatCode>mm\-yyyy</c:formatCode>
                <c:ptCount val="12"/>
              </c:numCache>
            </c:numRef>
          </c:cat>
          <c:val>
            <c:numRef>
              <c:f>'Yearly rawdata'!$V$5:$V$16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39-4C67-B160-1C1F472C51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9160080"/>
        <c:axId val="1766927120"/>
      </c:lineChart>
      <c:dateAx>
        <c:axId val="1755181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44480"/>
        <c:crosses val="autoZero"/>
        <c:auto val="0"/>
        <c:lblOffset val="100"/>
        <c:baseTimeUnit val="days"/>
      </c:dateAx>
      <c:valAx>
        <c:axId val="176694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b="1"/>
                  <a:t>kWh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81232"/>
        <c:crosses val="autoZero"/>
        <c:crossBetween val="between"/>
      </c:valAx>
      <c:valAx>
        <c:axId val="17669271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b="1"/>
                  <a:t>mVND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60080"/>
        <c:crosses val="max"/>
        <c:crossBetween val="between"/>
      </c:valAx>
      <c:catAx>
        <c:axId val="1679160080"/>
        <c:scaling>
          <c:orientation val="minMax"/>
        </c:scaling>
        <c:delete val="1"/>
        <c:axPos val="b"/>
        <c:numFmt formatCode="mm\-yyyy" sourceLinked="1"/>
        <c:majorTickMark val="out"/>
        <c:minorTickMark val="none"/>
        <c:tickLblPos val="nextTo"/>
        <c:crossAx val="1766927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81776253124312E-2"/>
          <c:y val="3.2535908761552899E-2"/>
          <c:w val="0.84353173822686789"/>
          <c:h val="0.845118852357431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'Yearly rawdata'!$B$3:$B$4</c:f>
              <c:strCache>
                <c:ptCount val="2"/>
                <c:pt idx="0">
                  <c:v>Monthly energy</c:v>
                </c:pt>
                <c:pt idx="1">
                  <c:v>(kWh)</c:v>
                </c:pt>
              </c:strCache>
            </c:strRef>
          </c:tx>
          <c:spPr>
            <a:solidFill>
              <a:srgbClr val="00B050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'Yearly rawdata'!$A$5:$A$16</c:f>
              <c:numCache>
                <c:formatCode>mm\-yyyy</c:formatCode>
                <c:ptCount val="12"/>
              </c:numCache>
            </c:numRef>
          </c:cat>
          <c:val>
            <c:numRef>
              <c:f>'Yearly rawdata'!$U$5:$U$16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4-4093-BBBD-66CC54F39C2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755181232"/>
        <c:axId val="1766944480"/>
      </c:barChart>
      <c:lineChart>
        <c:grouping val="standard"/>
        <c:varyColors val="0"/>
        <c:ser>
          <c:idx val="1"/>
          <c:order val="1"/>
          <c:tx>
            <c:strRef>
              <c:f>'Yearly rawdata'!$G$3:$G$4</c:f>
              <c:strCache>
                <c:ptCount val="2"/>
                <c:pt idx="0">
                  <c:v>Monthly CO2 emission reduction</c:v>
                </c:pt>
                <c:pt idx="1">
                  <c:v>(Tons)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solidFill>
                <a:srgbClr val="00B0F0">
                  <a:alpha val="17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'Yearly rawdata'!$W$5:$W$16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4-4093-BBBD-66CC54F39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02176"/>
        <c:axId val="100774352"/>
      </c:lineChart>
      <c:dateAx>
        <c:axId val="1755181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44480"/>
        <c:crosses val="autoZero"/>
        <c:auto val="0"/>
        <c:lblOffset val="100"/>
        <c:baseTimeUnit val="days"/>
      </c:dateAx>
      <c:valAx>
        <c:axId val="176694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b="1"/>
                  <a:t>kWh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81232"/>
        <c:crosses val="autoZero"/>
        <c:crossBetween val="between"/>
      </c:valAx>
      <c:valAx>
        <c:axId val="1007743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02176"/>
        <c:crosses val="max"/>
        <c:crossBetween val="between"/>
      </c:valAx>
      <c:catAx>
        <c:axId val="1722021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77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13</xdr:col>
      <xdr:colOff>554935</xdr:colOff>
      <xdr:row>31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883D8-1881-4194-AD35-A55D1A589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13</xdr:col>
      <xdr:colOff>554935</xdr:colOff>
      <xdr:row>31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4531B-3E25-4F71-9634-BC76E06C3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topLeftCell="E1" zoomScale="85" zoomScaleNormal="85" workbookViewId="0">
      <selection activeCell="S2" sqref="S2"/>
    </sheetView>
  </sheetViews>
  <sheetFormatPr defaultRowHeight="15" x14ac:dyDescent="0.25"/>
  <cols>
    <col min="1" max="1" width="9.140625" customWidth="1" style="3"/>
    <col min="2" max="2" width="9.140625" customWidth="1"/>
    <col min="3" max="3" width="9.140625" customWidth="1"/>
    <col min="4" max="4" width="9.140625" customWidth="1"/>
    <col min="5" max="5" bestFit="1" width="9.140625" customWidth="1"/>
    <col min="6" max="6" bestFit="1" width="9.140625" customWidth="1"/>
    <col min="7" max="7" width="9.140625" customWidth="1"/>
    <col min="8" max="8" width="9.140625" customWidth="1"/>
    <col min="9" max="9" width="9.140625" customWidth="1"/>
    <col min="10" max="10" width="18.9642200469971" customWidth="1"/>
    <col min="11" max="11" bestFit="1" width="26.0469017028809" customWidth="1"/>
    <col min="12" max="12" bestFit="1" width="26.3865604400635" customWidth="1"/>
    <col min="13" max="13" bestFit="1" width="24.6698570251465" customWidth="1"/>
    <col min="14" max="14" bestFit="1" width="17.4950981140137" customWidth="1"/>
    <col min="15" max="15" bestFit="1" width="25.5722007751465" customWidth="1"/>
    <col min="16" max="16" width="13.8427562713623" customWidth="1"/>
    <col min="17" max="17" width="12.7286376953125" customWidth="1"/>
    <col min="18" max="18" width="15.9492473602295" customWidth="1"/>
    <col min="19" max="19" width="13.6176815032959" customWidth="1"/>
    <col min="20" max="20" width="9.140625" customWidth="1"/>
    <col min="21" max="21" width="14.659161567688" customWidth="1"/>
    <col min="22" max="22" width="13.6954345703125" customWidth="1"/>
    <col min="23" max="23" width="29.5253238677979" customWidth="1"/>
  </cols>
  <sheetData>
    <row r="1">
      <c r="Q1" s="0" t="s">
        <v>0</v>
      </c>
      <c r="R1" s="0" t="s">
        <v>1</v>
      </c>
      <c r="S1" s="0" t="s">
        <v>2</v>
      </c>
    </row>
    <row r="2">
      <c r="B2" s="10" t="s">
        <v>3</v>
      </c>
      <c r="C2" s="10"/>
      <c r="D2" s="10"/>
      <c r="E2" s="10"/>
      <c r="F2" s="10"/>
      <c r="G2" s="11" t="s">
        <v>4</v>
      </c>
      <c r="H2" s="11"/>
      <c r="I2" s="11"/>
      <c r="J2" s="2" t="s">
        <v>5</v>
      </c>
      <c r="K2" s="12" t="s">
        <v>6</v>
      </c>
      <c r="L2" s="12"/>
      <c r="M2" s="12"/>
      <c r="N2" s="12"/>
      <c r="O2" s="12"/>
      <c r="P2" s="0" t="s">
        <v>7</v>
      </c>
      <c r="Q2" s="0">
        <v>0.6766</v>
      </c>
      <c r="R2" s="0">
        <v>1669</v>
      </c>
      <c r="S2" s="0">
        <v>3093</v>
      </c>
      <c r="T2" s="0" t="s">
        <v>8</v>
      </c>
    </row>
    <row r="3" ht="45">
      <c r="A3" s="3" t="s">
        <v>9</v>
      </c>
      <c r="B3" s="4" t="s">
        <v>10</v>
      </c>
      <c r="C3" s="9" t="s">
        <v>11</v>
      </c>
      <c r="D3" s="4" t="s">
        <v>12</v>
      </c>
      <c r="E3" s="4" t="s">
        <v>13</v>
      </c>
      <c r="F3" s="4" t="s">
        <v>14</v>
      </c>
      <c r="G3" s="1" t="s">
        <v>15</v>
      </c>
      <c r="H3" s="1" t="s">
        <v>16</v>
      </c>
      <c r="I3" s="1" t="s">
        <v>17</v>
      </c>
      <c r="J3" s="0" t="s">
        <v>18</v>
      </c>
      <c r="K3" s="0" t="s">
        <v>19</v>
      </c>
      <c r="L3" s="0" t="s">
        <v>20</v>
      </c>
      <c r="M3" s="0" t="s">
        <v>21</v>
      </c>
      <c r="N3" s="0" t="s">
        <v>22</v>
      </c>
      <c r="O3" s="0" t="s">
        <v>23</v>
      </c>
      <c r="P3" s="0" t="s">
        <v>24</v>
      </c>
      <c r="U3" s="0" t="s">
        <v>10</v>
      </c>
      <c r="V3" s="0" t="s">
        <v>25</v>
      </c>
      <c r="W3" s="0" t="s">
        <v>15</v>
      </c>
    </row>
    <row r="4">
      <c r="B4" s="0" t="s">
        <v>26</v>
      </c>
      <c r="C4" s="0" t="s">
        <v>26</v>
      </c>
      <c r="D4" s="0" t="s">
        <v>26</v>
      </c>
      <c r="E4" s="0" t="s">
        <v>26</v>
      </c>
      <c r="F4" s="0" t="s">
        <v>26</v>
      </c>
      <c r="G4" s="0" t="s">
        <v>27</v>
      </c>
      <c r="H4" s="0" t="s">
        <v>27</v>
      </c>
      <c r="I4" s="0" t="s">
        <v>27</v>
      </c>
      <c r="J4" s="0" t="s">
        <v>28</v>
      </c>
      <c r="K4" s="0" t="s">
        <v>29</v>
      </c>
      <c r="L4" s="0" t="s">
        <v>29</v>
      </c>
      <c r="M4" s="0" t="s">
        <v>29</v>
      </c>
      <c r="N4" s="0" t="s">
        <v>30</v>
      </c>
      <c r="O4" s="0" t="s">
        <v>30</v>
      </c>
      <c r="U4" s="0" t="s">
        <v>26</v>
      </c>
      <c r="V4" s="0" t="s">
        <v>31</v>
      </c>
      <c r="W4" s="0" t="s">
        <v>27</v>
      </c>
    </row>
    <row r="5">
      <c r="A5" s="3" t="s">
        <v>32</v>
      </c>
      <c r="B5" s="0">
        <v>49610</v>
      </c>
      <c r="C5" s="0">
        <v>37212</v>
      </c>
      <c r="D5" s="0">
        <v>12398</v>
      </c>
      <c r="E5" s="0">
        <v>49610</v>
      </c>
      <c r="F5" s="0">
        <v>503065</v>
      </c>
      <c r="G5" s="0">
        <v>33.57</v>
      </c>
      <c r="H5" s="0">
        <v>33.57</v>
      </c>
      <c r="I5" s="0">
        <v>340.37</v>
      </c>
      <c r="J5" s="0">
        <v>578</v>
      </c>
      <c r="K5" s="0">
        <v>14.460000038146973</v>
      </c>
      <c r="L5" s="0">
        <v>67.970001220703125</v>
      </c>
      <c r="M5" s="0">
        <v>41.5099983215332</v>
      </c>
      <c r="N5" s="0">
        <v>142.62</v>
      </c>
      <c r="O5" s="0">
        <v>142.62</v>
      </c>
      <c r="P5" s="0">
        <v>100.45</v>
      </c>
      <c r="U5" s="0" t="e">
        <f>IF(B5&gt;0,B5,#N/A)</f>
        <v>#N/A</v>
      </c>
      <c r="V5" s="0" t="e">
        <f>IF(P5&gt;0,P5,#N/A)</f>
        <v>#N/A</v>
      </c>
      <c r="W5" s="0" t="e">
        <f>IF(G5&gt;0,G5,#N/A)</f>
        <v>#N/A</v>
      </c>
    </row>
    <row r="6">
      <c r="A6" s="3" t="s">
        <v>33</v>
      </c>
      <c r="B6" s="0">
        <v>55105</v>
      </c>
      <c r="C6" s="0">
        <v>41787</v>
      </c>
      <c r="D6" s="0">
        <v>13318</v>
      </c>
      <c r="E6" s="0">
        <v>104715</v>
      </c>
      <c r="F6" s="0">
        <v>558170</v>
      </c>
      <c r="G6" s="0">
        <v>37.28</v>
      </c>
      <c r="H6" s="0">
        <v>70.85</v>
      </c>
      <c r="I6" s="0">
        <v>377.66</v>
      </c>
      <c r="J6" s="0">
        <v>593</v>
      </c>
      <c r="K6" s="0">
        <v>16.329999923706055</v>
      </c>
      <c r="L6" s="0">
        <v>71.300003051757813</v>
      </c>
      <c r="M6" s="0">
        <v>43.860000610351563</v>
      </c>
      <c r="N6" s="0">
        <v>142.7</v>
      </c>
      <c r="O6" s="0">
        <v>285.32</v>
      </c>
      <c r="P6" s="0">
        <v>110.94</v>
      </c>
      <c r="U6" s="0" t="e">
        <f ref="U6:U16" t="shared" si="0">IF(B6&gt;0,B6,#N/A)</f>
        <v>#N/A</v>
      </c>
      <c r="V6" s="0" t="e">
        <f ref="V6:V16" t="shared" si="1">IF(P6&gt;0,P6,#N/A)</f>
        <v>#N/A</v>
      </c>
      <c r="W6" s="0" t="e">
        <f ref="W6:W16" t="shared" si="2">IF(G6&gt;0,G6,#N/A)</f>
        <v>#N/A</v>
      </c>
    </row>
    <row r="7">
      <c r="A7" s="3" t="s">
        <v>34</v>
      </c>
      <c r="B7" s="0">
        <v>80864</v>
      </c>
      <c r="C7" s="0">
        <v>61176</v>
      </c>
      <c r="D7" s="0">
        <v>19688</v>
      </c>
      <c r="E7" s="0">
        <v>185579</v>
      </c>
      <c r="F7" s="0">
        <v>639034</v>
      </c>
      <c r="G7" s="0">
        <v>54.71</v>
      </c>
      <c r="H7" s="0">
        <v>125.56</v>
      </c>
      <c r="I7" s="0">
        <v>432.37</v>
      </c>
      <c r="J7" s="0">
        <v>659</v>
      </c>
      <c r="K7" s="0">
        <v>20.020000457763672</v>
      </c>
      <c r="L7" s="0">
        <v>77.6500015258789</v>
      </c>
      <c r="M7" s="0">
        <v>45.479999542236328</v>
      </c>
      <c r="N7" s="0">
        <v>167.84</v>
      </c>
      <c r="O7" s="0">
        <v>453.15</v>
      </c>
      <c r="P7" s="0">
        <v>163</v>
      </c>
      <c r="U7" s="0" t="e">
        <f t="shared" si="0"/>
        <v>#N/A</v>
      </c>
      <c r="V7" s="0" t="e">
        <f t="shared" si="1"/>
        <v>#N/A</v>
      </c>
      <c r="W7" s="0" t="e">
        <f t="shared" si="2"/>
        <v>#N/A</v>
      </c>
    </row>
    <row r="8">
      <c r="A8" s="3" t="s">
        <v>35</v>
      </c>
      <c r="B8" s="0">
        <v>73606</v>
      </c>
      <c r="C8" s="0">
        <v>55585</v>
      </c>
      <c r="D8" s="0">
        <v>18021</v>
      </c>
      <c r="E8" s="0">
        <v>259185</v>
      </c>
      <c r="F8" s="0">
        <v>712640</v>
      </c>
      <c r="G8" s="0">
        <v>49.8</v>
      </c>
      <c r="H8" s="0">
        <v>175.36</v>
      </c>
      <c r="I8" s="0">
        <v>482.17</v>
      </c>
      <c r="J8" s="0">
        <v>599</v>
      </c>
      <c r="K8" s="0">
        <v>20.559999465942383</v>
      </c>
      <c r="L8" s="0">
        <v>77.370002746582031</v>
      </c>
      <c r="M8" s="0">
        <v>46.659999847412109</v>
      </c>
      <c r="N8" s="0">
        <v>161.48</v>
      </c>
      <c r="O8" s="0">
        <v>614.63</v>
      </c>
      <c r="P8" s="0">
        <v>148.51</v>
      </c>
      <c r="U8" s="0" t="e">
        <f t="shared" si="0"/>
        <v>#N/A</v>
      </c>
      <c r="V8" s="0" t="e">
        <f t="shared" si="1"/>
        <v>#N/A</v>
      </c>
      <c r="W8" s="0" t="e">
        <f t="shared" si="2"/>
        <v>#N/A</v>
      </c>
    </row>
    <row r="9">
      <c r="A9" s="3" t="s">
        <v>36</v>
      </c>
      <c r="B9" s="0">
        <v>79039</v>
      </c>
      <c r="C9" s="0">
        <v>59621</v>
      </c>
      <c r="D9" s="0">
        <v>19418</v>
      </c>
      <c r="E9" s="0">
        <v>338224</v>
      </c>
      <c r="F9" s="0">
        <v>791679</v>
      </c>
      <c r="G9" s="0">
        <v>53.48</v>
      </c>
      <c r="H9" s="0">
        <v>228.84</v>
      </c>
      <c r="I9" s="0">
        <v>535.65</v>
      </c>
      <c r="J9" s="0">
        <v>623</v>
      </c>
      <c r="K9" s="0">
        <v>22.409999847412109</v>
      </c>
      <c r="L9" s="0">
        <v>77.110000610351563</v>
      </c>
      <c r="M9" s="0">
        <v>43.880001068115234</v>
      </c>
      <c r="N9" s="0">
        <v>155.88</v>
      </c>
      <c r="O9" s="0">
        <v>770.51</v>
      </c>
      <c r="P9" s="0">
        <v>159.57</v>
      </c>
      <c r="U9" s="0" t="e">
        <f t="shared" si="0"/>
        <v>#N/A</v>
      </c>
      <c r="V9" s="0" t="e">
        <f t="shared" si="1"/>
        <v>#N/A</v>
      </c>
      <c r="W9" s="0" t="e">
        <f t="shared" si="2"/>
        <v>#N/A</v>
      </c>
    </row>
    <row r="10">
      <c r="A10" s="3" t="s">
        <v>37</v>
      </c>
      <c r="B10" s="0">
        <v>64770</v>
      </c>
      <c r="C10" s="0">
        <v>48534</v>
      </c>
      <c r="D10" s="0">
        <v>16236</v>
      </c>
      <c r="E10" s="0">
        <v>402994</v>
      </c>
      <c r="F10" s="0">
        <v>856449</v>
      </c>
      <c r="G10" s="0">
        <v>43.82</v>
      </c>
      <c r="H10" s="0">
        <v>272.67</v>
      </c>
      <c r="I10" s="0">
        <v>579.47</v>
      </c>
      <c r="J10" s="0">
        <v>604</v>
      </c>
      <c r="K10" s="0">
        <v>21.940000534057617</v>
      </c>
      <c r="L10" s="0">
        <v>74.029998779296875</v>
      </c>
      <c r="M10" s="0">
        <v>40.060001373291016</v>
      </c>
      <c r="N10" s="0">
        <v>137.63</v>
      </c>
      <c r="O10" s="0">
        <v>908.14</v>
      </c>
      <c r="P10" s="0">
        <v>131.22</v>
      </c>
      <c r="U10" s="0" t="e">
        <f t="shared" si="0"/>
        <v>#N/A</v>
      </c>
      <c r="V10" s="0" t="e">
        <f t="shared" si="1"/>
        <v>#N/A</v>
      </c>
      <c r="W10" s="0" t="e">
        <f t="shared" si="2"/>
        <v>#N/A</v>
      </c>
    </row>
    <row r="11">
      <c r="A11" s="3" t="s">
        <v>38</v>
      </c>
      <c r="B11" s="0">
        <v>73237</v>
      </c>
      <c r="C11" s="0">
        <v>55455</v>
      </c>
      <c r="D11" s="0">
        <v>17782</v>
      </c>
      <c r="E11" s="0">
        <v>476231</v>
      </c>
      <c r="F11" s="0">
        <v>929686</v>
      </c>
      <c r="G11" s="0">
        <v>49.55</v>
      </c>
      <c r="H11" s="0">
        <v>322.22</v>
      </c>
      <c r="I11" s="0">
        <v>629.03</v>
      </c>
      <c r="J11" s="0">
        <v>612</v>
      </c>
      <c r="K11" s="0">
        <v>22.440000534057617</v>
      </c>
      <c r="L11" s="0">
        <v>65.80999755859375</v>
      </c>
      <c r="M11" s="0">
        <v>39.25</v>
      </c>
      <c r="N11" s="0">
        <v>147.97</v>
      </c>
      <c r="O11" s="0">
        <v>1056.11</v>
      </c>
      <c r="P11" s="0">
        <v>147.55</v>
      </c>
      <c r="U11" s="0" t="e">
        <f t="shared" si="0"/>
        <v>#N/A</v>
      </c>
      <c r="V11" s="0" t="e">
        <f t="shared" si="1"/>
        <v>#N/A</v>
      </c>
      <c r="W11" s="0" t="e">
        <f t="shared" si="2"/>
        <v>#N/A</v>
      </c>
    </row>
    <row r="12">
      <c r="A12" s="3" t="s">
        <v>39</v>
      </c>
      <c r="B12" s="0">
        <v>71546</v>
      </c>
      <c r="C12" s="0">
        <v>55669</v>
      </c>
      <c r="D12" s="0">
        <v>15877</v>
      </c>
      <c r="E12" s="0">
        <v>547777</v>
      </c>
      <c r="F12" s="0">
        <v>1001232</v>
      </c>
      <c r="G12" s="0">
        <v>48.41</v>
      </c>
      <c r="H12" s="0">
        <v>370.63</v>
      </c>
      <c r="I12" s="0">
        <v>677.43</v>
      </c>
      <c r="J12" s="0">
        <v>609</v>
      </c>
      <c r="K12" s="0">
        <v>21.229999542236328</v>
      </c>
      <c r="L12" s="0">
        <v>70.220001220703125</v>
      </c>
      <c r="M12" s="0">
        <v>41.479999542236328</v>
      </c>
      <c r="N12" s="0">
        <v>157.47</v>
      </c>
      <c r="O12" s="0">
        <v>1213.58</v>
      </c>
      <c r="P12" s="0">
        <v>142.02</v>
      </c>
      <c r="U12" s="0" t="e">
        <f t="shared" si="0"/>
        <v>#N/A</v>
      </c>
      <c r="V12" s="0" t="e">
        <f t="shared" si="1"/>
        <v>#N/A</v>
      </c>
      <c r="W12" s="0" t="e">
        <f t="shared" si="2"/>
        <v>#N/A</v>
      </c>
    </row>
    <row r="13">
      <c r="A13" s="3" t="s">
        <v>40</v>
      </c>
      <c r="B13" s="0">
        <v>62567</v>
      </c>
      <c r="C13" s="0">
        <v>43976</v>
      </c>
      <c r="D13" s="0">
        <v>18591</v>
      </c>
      <c r="E13" s="0">
        <v>610344</v>
      </c>
      <c r="F13" s="0">
        <v>1063799</v>
      </c>
      <c r="G13" s="0">
        <v>42.33</v>
      </c>
      <c r="H13" s="0">
        <v>412.96</v>
      </c>
      <c r="I13" s="0">
        <v>719.77</v>
      </c>
      <c r="J13" s="0">
        <v>620</v>
      </c>
      <c r="K13" s="0">
        <v>22.520000457763672</v>
      </c>
      <c r="L13" s="0">
        <v>71.279998779296875</v>
      </c>
      <c r="M13" s="0">
        <v>40.630001068115234</v>
      </c>
      <c r="N13" s="0">
        <v>134.58</v>
      </c>
      <c r="O13" s="0">
        <v>1348.16</v>
      </c>
      <c r="P13" s="0">
        <v>130.9</v>
      </c>
      <c r="U13" s="0" t="e">
        <f t="shared" si="0"/>
        <v>#N/A</v>
      </c>
      <c r="V13" s="0" t="e">
        <f t="shared" si="1"/>
        <v>#N/A</v>
      </c>
      <c r="W13" s="0" t="e">
        <f t="shared" si="2"/>
        <v>#N/A</v>
      </c>
    </row>
    <row r="14">
      <c r="A14" s="3" t="s">
        <v>41</v>
      </c>
      <c r="B14" s="0">
        <v>66990</v>
      </c>
      <c r="C14" s="0">
        <v>49393</v>
      </c>
      <c r="D14" s="0">
        <v>17597</v>
      </c>
      <c r="E14" s="0">
        <v>677334</v>
      </c>
      <c r="F14" s="0">
        <v>1130789</v>
      </c>
      <c r="G14" s="0">
        <v>45.33</v>
      </c>
      <c r="H14" s="0">
        <v>458.28</v>
      </c>
      <c r="I14" s="0">
        <v>765.09</v>
      </c>
      <c r="J14" s="0">
        <v>609</v>
      </c>
      <c r="K14" s="0">
        <v>21.739999771118164</v>
      </c>
      <c r="L14" s="0">
        <v>73.55999755859375</v>
      </c>
      <c r="M14" s="0">
        <v>40.2400016784668</v>
      </c>
      <c r="N14" s="0">
        <v>130.35</v>
      </c>
      <c r="O14" s="0">
        <v>1478.51</v>
      </c>
      <c r="P14" s="0">
        <v>136.86</v>
      </c>
      <c r="U14" s="0" t="e">
        <f t="shared" si="0"/>
        <v>#N/A</v>
      </c>
      <c r="V14" s="0" t="e">
        <f t="shared" si="1"/>
        <v>#N/A</v>
      </c>
      <c r="W14" s="0" t="e">
        <f t="shared" si="2"/>
        <v>#N/A</v>
      </c>
    </row>
    <row r="15">
      <c r="A15" s="3" t="s">
        <v>42</v>
      </c>
      <c r="B15" s="0">
        <v>51001</v>
      </c>
      <c r="C15" s="0">
        <v>38471</v>
      </c>
      <c r="D15" s="0">
        <v>12530</v>
      </c>
      <c r="E15" s="0">
        <v>728335</v>
      </c>
      <c r="F15" s="0">
        <v>1181790</v>
      </c>
      <c r="G15" s="0">
        <v>34.51</v>
      </c>
      <c r="H15" s="0">
        <v>492.79</v>
      </c>
      <c r="I15" s="0">
        <v>799.6</v>
      </c>
      <c r="J15" s="0">
        <v>589</v>
      </c>
      <c r="K15" s="0">
        <v>18.329999923706055</v>
      </c>
      <c r="L15" s="0">
        <v>70.5</v>
      </c>
      <c r="M15" s="0">
        <v>39.310001373291016</v>
      </c>
      <c r="N15" s="0">
        <v>102.82</v>
      </c>
      <c r="O15" s="0">
        <v>1581.33</v>
      </c>
      <c r="P15" s="0">
        <v>102.96</v>
      </c>
      <c r="U15" s="0" t="e">
        <f t="shared" si="0"/>
        <v>#N/A</v>
      </c>
      <c r="V15" s="0" t="e">
        <f t="shared" si="1"/>
        <v>#N/A</v>
      </c>
      <c r="W15" s="0" t="e">
        <f t="shared" si="2"/>
        <v>#N/A</v>
      </c>
    </row>
    <row r="16">
      <c r="A16" s="3" t="s">
        <v>43</v>
      </c>
      <c r="B16" s="0">
        <v>0</v>
      </c>
      <c r="C16" s="0">
        <v>0</v>
      </c>
      <c r="D16" s="0">
        <v>0</v>
      </c>
      <c r="E16" s="0">
        <v>728335</v>
      </c>
      <c r="F16" s="0">
        <v>0</v>
      </c>
      <c r="G16" s="0">
        <v>0</v>
      </c>
      <c r="H16" s="0">
        <v>492.79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1581.33</v>
      </c>
      <c r="P16" s="0">
        <v>0</v>
      </c>
      <c r="U16" s="0" t="e">
        <f t="shared" si="0"/>
        <v>#N/A</v>
      </c>
      <c r="V16" s="0" t="e">
        <f t="shared" si="1"/>
        <v>#N/A</v>
      </c>
      <c r="W16" s="0" t="e">
        <f t="shared" si="2"/>
        <v>#N/A</v>
      </c>
    </row>
  </sheetData>
  <mergeCells>
    <mergeCell ref="B2:F2"/>
    <mergeCell ref="G2:I2"/>
    <mergeCell ref="K2:O2"/>
  </mergeCells>
  <pageMargins left="0.7" right="0.7" top="0.75" bottom="0.75" header="0.3" footer="0.3"/>
  <pageSetup orientation="portrait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843B-F6F8-43EB-9AB4-79FE215A14CB}">
  <dimension ref="A1:N4"/>
  <sheetViews>
    <sheetView view="pageBreakPreview" zoomScaleNormal="100" zoomScaleSheetLayoutView="100" workbookViewId="0">
      <selection activeCell="C4" sqref="C4"/>
    </sheetView>
  </sheetViews>
  <sheetFormatPr defaultRowHeight="15" x14ac:dyDescent="0.25"/>
  <cols>
    <col min="2" max="2" width="10.140625" customWidth="1"/>
    <col min="3" max="3" bestFit="1" width="12.28515625" customWidth="1"/>
  </cols>
  <sheetData>
    <row r="1">
      <c r="A1" s="13" t="s">
        <v>44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ht="15.75">
      <c r="A3" s="5" t="s">
        <v>45</v>
      </c>
      <c r="B3" s="6"/>
      <c r="C3" s="7">
        <f>SUM('Yearly rawdata'!B5:B16)</f>
        <v>0</v>
      </c>
      <c r="D3" s="7"/>
    </row>
    <row r="4" ht="15.75">
      <c r="A4" s="5" t="s">
        <v>46</v>
      </c>
      <c r="C4" s="8">
        <f>SUM('Yearly rawdata'!P5:P16)</f>
        <v>0</v>
      </c>
      <c r="D4" s="8"/>
    </row>
  </sheetData>
  <mergeCells>
    <mergeCell ref="A1:N2"/>
  </mergeCells>
  <pageMargins left="0.7" right="0.7" top="0.75" bottom="0.75" header="0.3" footer="0.3"/>
  <pageSetup paperSize="9" orientation="landscape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2AE0-DFA4-448E-878B-EC6A9CD20A78}">
  <dimension ref="A1:N4"/>
  <sheetViews>
    <sheetView view="pageBreakPreview" zoomScaleNormal="100" zoomScaleSheetLayoutView="100" workbookViewId="0">
      <selection activeCell="D4" sqref="D4:E4"/>
    </sheetView>
  </sheetViews>
  <sheetFormatPr defaultRowHeight="15" x14ac:dyDescent="0.25"/>
  <cols>
    <col min="2" max="2" width="10.140625" customWidth="1"/>
    <col min="3" max="3" bestFit="1" width="12.28515625" customWidth="1"/>
  </cols>
  <sheetData>
    <row r="1" ht="14.45" customHeight="1">
      <c r="A1" s="13" t="s">
        <v>47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ht="14.4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ht="15.75">
      <c r="A3" s="5" t="s">
        <v>45</v>
      </c>
      <c r="B3" s="6"/>
      <c r="D3" s="14">
        <f>SUM('Yearly rawdata'!B5:B16)</f>
        <v>0</v>
      </c>
      <c r="E3" s="14"/>
    </row>
    <row r="4" ht="15.75">
      <c r="A4" s="5" t="s">
        <v>48</v>
      </c>
      <c r="C4" s="8"/>
      <c r="D4" s="15">
        <f>SUM('Yearly rawdata'!G5:G16)</f>
        <v>0</v>
      </c>
      <c r="E4" s="15"/>
    </row>
  </sheetData>
  <mergeCells>
    <mergeCell ref="A1:N2"/>
    <mergeCell ref="D3:E3"/>
    <mergeCell ref="D4:E4"/>
  </mergeCells>
  <pageMargins left="0.7" right="0.7" top="0.75" bottom="0.75" header="0.3" footer="0.3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Yearly rawdata</vt:lpstr>
      <vt:lpstr>Graph 1</vt:lpstr>
      <vt:lpstr>Graph 2</vt:lpstr>
      <vt:lpstr>'Graph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Thanh</dc:creator>
  <cp:lastModifiedBy>Scapporo Scada</cp:lastModifiedBy>
  <dcterms:created xsi:type="dcterms:W3CDTF">2023-07-03T13:26:27Z</dcterms:created>
  <dcterms:modified xsi:type="dcterms:W3CDTF">2024-09-30T04:22:56Z</dcterms:modified>
</cp:coreProperties>
</file>