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7628"/>
  <mc:AlternateContent xmlns:mc="http://schemas.openxmlformats.org/markup-compatibility/2006">
    <mc:Choice Requires="x15">
      <x15ac:absPath xmlns:x15ac="http://schemas.microsoft.com/office/spreadsheetml/2010/11/ac" url="C:\Users\ThinkPad\Desktop\ex\"/>
    </mc:Choice>
  </mc:AlternateContent>
  <bookViews>
    <workbookView xWindow="-120" yWindow="-120" windowWidth="29040" windowHeight="15720" activeTab="2"/>
  </bookViews>
  <sheets>
    <sheet name="DailyEnergy" sheetId="1" r:id="rId1"/>
    <sheet name="data" sheetId="13" r:id="rId2"/>
    <sheet name="Evaluation Warning" sheetId="14" r:id="rId3"/>
  </sheets>
  <calcPr/>
</workbook>
</file>

<file path=xl/calcChain.xml><?xml version="1.0" encoding="utf-8"?>
<calcChain xmlns="http://schemas.openxmlformats.org/spreadsheetml/2006/main">
  <c i="1" l="1"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B11"/>
</calcChain>
</file>

<file path=xl/sharedStrings.xml><?xml version="1.0" encoding="utf-8"?>
<sst xmlns="http://schemas.openxmlformats.org/spreadsheetml/2006/main">
  <si>
    <t xml:space="preserve">DAILY ENERGY EXPORT TOTAL REPORT </t>
  </si>
  <si>
    <t>Hour</t>
  </si>
  <si>
    <t>Energy Export
(kWh)</t>
  </si>
  <si>
    <t>Hmax</t>
  </si>
  <si>
    <t>Max</t>
  </si>
  <si>
    <t>Hmin</t>
  </si>
  <si>
    <t>Min</t>
  </si>
  <si>
    <t>∑E</t>
  </si>
  <si>
    <t>DAILY ENERGY</t>
  </si>
  <si>
    <t>DateTime</t>
  </si>
  <si>
    <t>Project 1
(kWh)</t>
  </si>
  <si>
    <t>Project 2
(kWh)</t>
  </si>
  <si>
    <t>Project 3
(kWh)</t>
  </si>
  <si>
    <t>Project 4
(kWh)</t>
  </si>
  <si>
    <t>Poi1
(kWh)</t>
  </si>
  <si>
    <t>Poi2
(kWh)</t>
  </si>
</sst>
</file>

<file path=xl/styles.xml><?xml version="1.0" encoding="utf-8"?>
<styleSheet xmlns="http://schemas.openxmlformats.org/spreadsheetml/2006/main">
  <numFmts count="3">
    <numFmt numFmtId="164" formatCode="[hh]:mm"/>
    <numFmt numFmtId="165" formatCode="[$-1000000]h:mm;@"/>
    <numFmt numFmtId="43" formatCode="_(* #,##0.00_);_(* (#,##0.00);_(* &quot;-&quot;??_);_(@_)"/>
  </numFmts>
  <fonts count="11">
    <font>
      <sz val="11"/>
      <color theme="1"/>
      <name val="Calibri"/>
      <family val="2"/>
      <scheme val="minor"/>
    </font>
    <font>
      <b/>
      <sz val="16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Calibri Light"/>
      <family val="1"/>
      <charset val="163"/>
      <scheme val="major"/>
    </font>
    <font>
      <b/>
      <sz val="12"/>
      <color theme="1"/>
      <name val="Calibri Light"/>
      <family val="1"/>
      <scheme val="major"/>
    </font>
    <font>
      <sz val="14"/>
      <color rgb="FFFF0000"/>
      <name val="Calibri"/>
      <scheme val="minor"/>
    </font>
    <font>
      <sz val="11"/>
      <color indexed="8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/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medium">
        <color indexed="64"/>
      </lef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right style="thin">
        <color indexed="64"/>
      </right>
      <top style="thin">
        <color indexed="64"/>
      </top>
      <bottom style="medium">
        <color indexed="64"/>
      </bottom>
    </border>
  </borders>
  <cellStyleXfs count="3">
    <xf numFmtId="0" fontId="0" fillId="0" borderId="0"/>
    <xf numFmtId="43" fontId="0" fillId="0" borderId="0"/>
    <xf numFmtId="0" fontId="10" fillId="0" borderId="0"/>
  </cellStyleXfs>
  <cellXfs count="24">
    <xf numFmtId="0" fontId="0" fillId="0" borderId="0" xfId="0" applyProtection="1"/>
    <xf numFmtId="0" fontId="1" fillId="0" borderId="0" xfId="0" applyFont="1" applyProtection="1"/>
    <xf numFmtId="0" fontId="2" fillId="0" borderId="0" xfId="0" applyFont="1" applyProtection="1"/>
    <xf numFmtId="1" fontId="3" fillId="2" borderId="1" xfId="0" applyNumberFormat="1" applyFont="1" applyFill="1" applyBorder="1" applyAlignment="1" applyProtection="1">
      <alignment horizontal="center" vertical="center"/>
    </xf>
    <xf numFmtId="2" fontId="4" fillId="3" borderId="2" xfId="0" applyNumberFormat="1" applyFont="1" applyFill="1" applyBorder="1" applyAlignment="1" applyProtection="1">
      <alignment horizontal="center" vertical="center" wrapText="1"/>
    </xf>
    <xf numFmtId="164" fontId="5" fillId="2" borderId="3" xfId="0" applyNumberFormat="1" applyFont="1" applyFill="1" applyBorder="1" applyAlignment="1" applyProtection="1">
      <alignment horizontal="center" vertical="center"/>
    </xf>
    <xf numFmtId="2" fontId="6" fillId="0" borderId="4" xfId="0" applyNumberFormat="1" applyFont="1" applyBorder="1" applyAlignment="1" applyProtection="1">
      <alignment horizontal="center" vertical="center"/>
      <protection locked="0"/>
    </xf>
    <xf numFmtId="164" fontId="5" fillId="2" borderId="5" xfId="0" applyNumberFormat="1" applyFont="1" applyFill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165" fontId="2" fillId="0" borderId="7" xfId="0" applyNumberFormat="1" applyFont="1" applyBorder="1" applyAlignment="1" applyProtection="1">
      <alignment horizontal="center"/>
    </xf>
    <xf numFmtId="0" fontId="8" fillId="4" borderId="8" xfId="0" applyFont="1" applyFill="1" applyBorder="1" applyAlignment="1" applyProtection="1">
      <alignment horizontal="center" vertical="center"/>
    </xf>
    <xf numFmtId="2" fontId="2" fillId="4" borderId="9" xfId="0" applyNumberFormat="1" applyFont="1" applyFill="1" applyBorder="1" applyAlignment="1" applyProtection="1">
      <alignment horizontal="center"/>
    </xf>
    <xf numFmtId="0" fontId="8" fillId="0" borderId="8" xfId="0" applyFont="1" applyBorder="1" applyAlignment="1" applyProtection="1">
      <alignment horizontal="center" vertical="center"/>
    </xf>
    <xf numFmtId="165" fontId="2" fillId="0" borderId="10" xfId="0" applyNumberFormat="1" applyFont="1" applyBorder="1" applyAlignment="1" applyProtection="1">
      <alignment horizontal="center"/>
    </xf>
    <xf numFmtId="0" fontId="8" fillId="5" borderId="8" xfId="0" applyFont="1" applyFill="1" applyBorder="1" applyAlignment="1" applyProtection="1">
      <alignment horizontal="center" vertical="center"/>
    </xf>
    <xf numFmtId="2" fontId="2" fillId="5" borderId="9" xfId="0" applyNumberFormat="1" applyFont="1" applyFill="1" applyBorder="1" applyAlignment="1" applyProtection="1">
      <alignment horizontal="center"/>
    </xf>
    <xf numFmtId="0" fontId="7" fillId="2" borderId="11" xfId="0" applyFont="1" applyFill="1" applyBorder="1" applyAlignment="1" applyProtection="1">
      <alignment horizontal="center" vertical="center"/>
    </xf>
    <xf numFmtId="2" fontId="2" fillId="2" borderId="12" xfId="0" applyNumberFormat="1" applyFont="1" applyFill="1" applyBorder="1" applyAlignment="1" applyProtection="1">
      <alignment horizontal="center"/>
    </xf>
    <xf numFmtId="0" fontId="0" fillId="6" borderId="0" xfId="0" applyFill="1" applyAlignment="1" applyProtection="1">
      <alignment horizontal="center"/>
    </xf>
    <xf numFmtId="0" fontId="0" fillId="6" borderId="13" xfId="0" applyFill="1" applyBorder="1" applyAlignment="1" applyProtection="1">
      <alignment horizontal="center"/>
    </xf>
    <xf numFmtId="0" fontId="0" fillId="6" borderId="14" xfId="0" applyFill="1" applyBorder="1" applyAlignment="1" applyProtection="1">
      <alignment horizontal="center"/>
    </xf>
    <xf numFmtId="0" fontId="0" fillId="6" borderId="15" xfId="0" applyFill="1" applyBorder="1" applyAlignment="1" applyProtection="1">
      <alignment horizontal="center" vertical="center" wrapText="1"/>
    </xf>
    <xf numFmtId="0" fontId="0" fillId="6" borderId="14" xfId="0" applyFill="1" applyBorder="1" applyAlignment="1" applyProtection="1">
      <alignment horizontal="center" vertical="center" wrapText="1"/>
    </xf>
    <xf numFmtId="0" fontId="9" fillId="0" borderId="0" xfId="0" applyFont="1" applyProtection="1"/>
  </cellXfs>
  <cellStyles count="3">
    <cellStyle name="Normal" xfId="0" builtinId="0"/>
    <cellStyle name="Comma 3" xfId="1"/>
    <cellStyle name="Normal 2" xfId="2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customXml" Target="../customXml/item1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calcChain" Target="calcChain.xml" /><Relationship Id="rId8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ysClr val="windowText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Daily Energy</a:t>
            </a:r>
            <a:r>
              <a:rPr lang="en-US" baseline="0">
                <a:solidFill>
                  <a:sysClr val="windowText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Chart (kWh)</a:t>
            </a:r>
            <a:endParaRPr lang="vi-VN">
              <a:solidFill>
                <a:sysClr val="windowText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Energy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val>
            <c:numRef>
              <c:f>DailyEnergy!$B$11:$B$34</c:f>
              <c:numCache>
                <c:formatCode>0.00</c:formatCode>
                <c:ptCount val="24"/>
                <c:pt idx="0" formatCode="0.00">
                  <c:v>0</c:v>
                </c:pt>
                <c:pt idx="1" formatCode="0.00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/>
                    </a:solidFill>
                  </a:rPr>
                  <a:t>Time of</a:t>
                </a:r>
                <a:r>
                  <a:rPr lang="en-US" sz="1200" baseline="0">
                    <a:solidFill>
                      <a:sysClr val="windowText"/>
                    </a:solidFill>
                  </a:rPr>
                  <a:t> day</a:t>
                </a:r>
                <a:endParaRPr lang="vi-VN" sz="1200">
                  <a:solidFill>
                    <a:sysClr val="windowText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 (</a:t>
                </a:r>
                <a:r>
                  <a:rPr lang="en-US" sz="1200" b="1" i="0" u="none" strike="noStrike" baseline="0">
                    <a:solidFill>
                      <a:sysClr val="windowText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baseline="0">
                    <a:solidFill>
                      <a:sysClr val="windowText"/>
                    </a:solidFill>
                  </a:rPr>
                  <a:t>W</a:t>
                </a:r>
                <a:r>
                  <a:rPr lang="en-US" sz="1200">
                    <a:solidFill>
                      <a:sysClr val="windowText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vi-VN" sz="1200">
                  <a:solidFill>
                    <a:sysClr val="windowText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1.jp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325120</xdr:colOff>
      <xdr:row>9</xdr:row>
      <xdr:rowOff>1905</xdr:rowOff>
    </xdr:from>
    <xdr:to>
      <xdr:col>18</xdr:col>
      <xdr:colOff>335915</xdr:colOff>
      <xdr:row>39</xdr:row>
      <xdr:rowOff>11430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838200</xdr:colOff>
      <xdr:row>0</xdr:row>
      <xdr:rowOff>85725</xdr:rowOff>
    </xdr:from>
    <xdr:ext cx="1266825" cy="12573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autoPageBreaks="0"/>
  </sheetPr>
  <sheetViews>
    <sheetView zoomScaleNormal="100" workbookViewId="0">
      <selection activeCell="C5" sqref="C5"/>
    </sheetView>
  </sheetViews>
  <sheetFormatPr defaultRowHeight="15"/>
  <cols>
    <col min="1" max="1" width="16" customWidth="1"/>
    <col min="2" max="2" width="23.71094" customWidth="1"/>
  </cols>
  <sheetData>
    <row r="7" ht="20.45" customHeight="1">
      <c r="A7" s="1"/>
      <c r="B7" s="1"/>
    </row>
    <row r="8" ht="20.45" customHeight="1">
      <c r="A8" s="1" t="s">
        <v>0</v>
      </c>
      <c r="B8" s="1"/>
    </row>
    <row r="9">
      <c r="A9" s="2"/>
      <c r="B9" s="2"/>
    </row>
    <row r="10" thickBot="1" ht="29.25">
      <c r="A10" s="3" t="s">
        <v>1</v>
      </c>
      <c r="B10" s="4" t="s">
        <v>2</v>
      </c>
    </row>
    <row r="11" ht="15.75">
      <c r="A11" s="5">
        <v>0.041666666666666664</v>
      </c>
      <c r="B11" s="6">
        <f>data!B3</f>
        <v>0</v>
      </c>
    </row>
    <row r="12" ht="15.75">
      <c r="A12" s="5">
        <f>A11+1/24</f>
        <v>0.083333333333333329</v>
      </c>
      <c r="B12" s="6">
        <f>data!B4</f>
        <v>0</v>
      </c>
    </row>
    <row r="13" ht="15.75">
      <c r="A13" s="5">
        <f t="shared" ref="A13:A34" si="0">A12+1/24</f>
        <v>0.125</v>
      </c>
      <c r="B13" s="6">
        <f>data!B5</f>
        <v>0</v>
      </c>
    </row>
    <row r="14" ht="15.75">
      <c r="A14" s="5">
        <f t="shared" si="0"/>
        <v>0.16666666666666666</v>
      </c>
      <c r="B14" s="6">
        <f>data!B6</f>
        <v>0</v>
      </c>
    </row>
    <row r="15" ht="15.75">
      <c r="A15" s="5">
        <f t="shared" si="0"/>
        <v>0.20833333333333331</v>
      </c>
      <c r="B15" s="6">
        <f>data!B7</f>
        <v>0</v>
      </c>
    </row>
    <row r="16" ht="15.75">
      <c r="A16" s="5">
        <f t="shared" si="0"/>
        <v>0.24999999999999997</v>
      </c>
      <c r="B16" s="6">
        <f>data!B8</f>
        <v>0</v>
      </c>
    </row>
    <row r="17" ht="15.75">
      <c r="A17" s="5">
        <f t="shared" si="0"/>
        <v>0.29166666666666663</v>
      </c>
      <c r="B17" s="6">
        <f>data!B9</f>
        <v>0</v>
      </c>
    </row>
    <row r="18" ht="15.75">
      <c r="A18" s="5">
        <f t="shared" si="0"/>
        <v>0.33333333333333331</v>
      </c>
      <c r="B18" s="6">
        <f>data!B10</f>
        <v>0</v>
      </c>
    </row>
    <row r="19" ht="15.75">
      <c r="A19" s="5">
        <f t="shared" si="0"/>
        <v>0.375</v>
      </c>
      <c r="B19" s="6">
        <f>data!B11</f>
        <v>0</v>
      </c>
    </row>
    <row r="20" ht="15.75">
      <c r="A20" s="5">
        <f t="shared" si="0"/>
        <v>0.41666666666666669</v>
      </c>
      <c r="B20" s="6">
        <f>data!B12</f>
        <v>0</v>
      </c>
    </row>
    <row r="21" ht="15.75">
      <c r="A21" s="5">
        <f t="shared" si="0"/>
        <v>0.45833333333333337</v>
      </c>
      <c r="B21" s="6">
        <f>data!B13</f>
        <v>0</v>
      </c>
    </row>
    <row r="22" ht="15.75">
      <c r="A22" s="5">
        <f t="shared" si="0"/>
        <v>0.5</v>
      </c>
      <c r="B22" s="6">
        <f>data!B14</f>
        <v>0</v>
      </c>
    </row>
    <row r="23" ht="15.75">
      <c r="A23" s="5">
        <f t="shared" si="0"/>
        <v>0.54166666666666663</v>
      </c>
      <c r="B23" s="6">
        <f>data!B15</f>
        <v>0</v>
      </c>
    </row>
    <row r="24" ht="15.75">
      <c r="A24" s="5">
        <f t="shared" si="0"/>
        <v>0.58333333333333326</v>
      </c>
      <c r="B24" s="6">
        <f>data!B16</f>
        <v>0</v>
      </c>
    </row>
    <row r="25" ht="15.75">
      <c r="A25" s="5">
        <f t="shared" si="0"/>
        <v>0.62499999999999989</v>
      </c>
      <c r="B25" s="6">
        <f>data!B17</f>
        <v>0</v>
      </c>
    </row>
    <row r="26" ht="15.75">
      <c r="A26" s="5">
        <f t="shared" si="0"/>
        <v>0.66666666666666652</v>
      </c>
      <c r="B26" s="6">
        <f>data!B18</f>
        <v>0</v>
      </c>
    </row>
    <row r="27" ht="15.75">
      <c r="A27" s="5">
        <f t="shared" si="0"/>
        <v>0.70833333333333315</v>
      </c>
      <c r="B27" s="6">
        <f>data!B19</f>
        <v>0</v>
      </c>
    </row>
    <row r="28" ht="15.75">
      <c r="A28" s="5">
        <f t="shared" si="0"/>
        <v>0.74999999999999978</v>
      </c>
      <c r="B28" s="6">
        <f>data!B20</f>
        <v>0</v>
      </c>
    </row>
    <row r="29" ht="15.75">
      <c r="A29" s="5">
        <f t="shared" si="0"/>
        <v>0.79166666666666641</v>
      </c>
      <c r="B29" s="6">
        <f>data!B21</f>
        <v>0</v>
      </c>
    </row>
    <row r="30" ht="15.75">
      <c r="A30" s="5">
        <f t="shared" si="0"/>
        <v>0.83333333333333304</v>
      </c>
      <c r="B30" s="6">
        <f>data!B22</f>
        <v>0</v>
      </c>
    </row>
    <row r="31" ht="15.75">
      <c r="A31" s="5">
        <f t="shared" si="0"/>
        <v>0.87499999999999967</v>
      </c>
      <c r="B31" s="6">
        <f>data!B23</f>
        <v>0</v>
      </c>
    </row>
    <row r="32" ht="15.75">
      <c r="A32" s="5">
        <f t="shared" si="0"/>
        <v>0.9166666666666663</v>
      </c>
      <c r="B32" s="6">
        <f>data!B24</f>
        <v>0</v>
      </c>
    </row>
    <row r="33" ht="15.75">
      <c r="A33" s="5">
        <f t="shared" si="0"/>
        <v>0.95833333333333293</v>
      </c>
      <c r="B33" s="6">
        <f>data!B25</f>
        <v>0</v>
      </c>
    </row>
    <row r="34" thickBot="1" ht="16.5">
      <c r="A34" s="7">
        <f t="shared" si="0"/>
        <v>0.99999999999999956</v>
      </c>
      <c r="B34" s="6">
        <f>data!B26</f>
        <v>0</v>
      </c>
    </row>
    <row r="35" ht="16.9" customHeight="1">
      <c r="A35" s="8" t="s">
        <v>3</v>
      </c>
      <c r="B35" s="9">
        <f>INDEX(A11:A34,MATCH(MAX(B11:B34),B11:B34,0))</f>
        <v>0.041666666666666664</v>
      </c>
    </row>
    <row r="36" ht="16.9" customHeight="1">
      <c r="A36" s="10" t="s">
        <v>4</v>
      </c>
      <c r="B36" s="11">
        <f>MAX(B11:B34)</f>
        <v>0</v>
      </c>
    </row>
    <row r="37" ht="16.9" customHeight="1">
      <c r="A37" s="12" t="s">
        <v>5</v>
      </c>
      <c r="B37" s="13">
        <f>INDEX(A11:A34,MATCH(MIN(B11:B34),B11:B34,0))</f>
        <v>0.041666666666666664</v>
      </c>
    </row>
    <row r="38" ht="16.9" customHeight="1">
      <c r="A38" s="14" t="s">
        <v>6</v>
      </c>
      <c r="B38" s="15">
        <f>MIN(B11:B34)</f>
        <v>0</v>
      </c>
    </row>
    <row r="39" ht="16.9" customHeight="1">
      <c r="A39" s="16" t="s">
        <v>7</v>
      </c>
      <c r="B39" s="17">
        <f>SUM(B11:B34)</f>
        <v>0</v>
      </c>
    </row>
  </sheetData>
  <pageSetup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H3" sqref="H3"/>
    </sheetView>
  </sheetViews>
  <sheetFormatPr defaultRowHeight="15"/>
  <cols>
    <col min="1" max="1" width="12.14063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18" t="s">
        <v>8</v>
      </c>
      <c r="B1" s="18"/>
      <c r="C1" s="18"/>
      <c r="D1" s="18"/>
      <c r="E1" s="18"/>
      <c r="F1" s="18"/>
      <c r="G1" s="19"/>
    </row>
    <row r="2" ht="30.75">
      <c r="A2" s="20" t="s">
        <v>9</v>
      </c>
      <c r="B2" s="21" t="s">
        <v>10</v>
      </c>
      <c r="C2" s="22" t="s">
        <v>11</v>
      </c>
      <c r="D2" s="22" t="s">
        <v>12</v>
      </c>
      <c r="E2" s="22" t="s">
        <v>13</v>
      </c>
      <c r="F2" s="22" t="s">
        <v>14</v>
      </c>
      <c r="G2" s="22" t="s">
        <v>15</v>
      </c>
    </row>
    <row r="3">
      <c r="A3">
        <v>45988</v>
      </c>
      <c r="B3">
        <v>0</v>
      </c>
    </row>
    <row r="4">
      <c r="A4">
        <v>45988.041666666701</v>
      </c>
      <c r="B4">
        <v>0</v>
      </c>
    </row>
    <row r="5">
      <c r="A5">
        <v>45988.083333333299</v>
      </c>
      <c r="B5">
        <v>0</v>
      </c>
    </row>
    <row r="6">
      <c r="A6">
        <v>45988.125</v>
      </c>
      <c r="B6">
        <v>0</v>
      </c>
    </row>
    <row r="7">
      <c r="A7">
        <v>45988.166666666701</v>
      </c>
      <c r="B7">
        <v>0</v>
      </c>
    </row>
    <row r="8">
      <c r="A8">
        <v>45988.208333333299</v>
      </c>
      <c r="B8">
        <v>0</v>
      </c>
    </row>
    <row r="9">
      <c r="A9">
        <v>45988.25</v>
      </c>
      <c r="B9">
        <v>0</v>
      </c>
    </row>
    <row r="10">
      <c r="A10">
        <v>45988.291666666701</v>
      </c>
      <c r="B10">
        <v>0</v>
      </c>
    </row>
    <row r="11">
      <c r="A11">
        <v>45988.333333333299</v>
      </c>
      <c r="B11">
        <v>0</v>
      </c>
    </row>
    <row r="12">
      <c r="A12">
        <v>45988.375</v>
      </c>
      <c r="B12">
        <v>0</v>
      </c>
    </row>
    <row r="13">
      <c r="A13">
        <v>45988.416666666701</v>
      </c>
      <c r="B13">
        <v>0</v>
      </c>
    </row>
    <row r="14">
      <c r="A14">
        <v>45988.458333333299</v>
      </c>
      <c r="B14">
        <v>0</v>
      </c>
    </row>
    <row r="15">
      <c r="A15">
        <v>45988.5</v>
      </c>
      <c r="B15">
        <v>0</v>
      </c>
    </row>
    <row r="16">
      <c r="A16">
        <v>45988.541666666701</v>
      </c>
      <c r="B16">
        <v>0</v>
      </c>
    </row>
    <row r="17">
      <c r="A17">
        <v>45988.583333333299</v>
      </c>
      <c r="B17">
        <v>0</v>
      </c>
    </row>
    <row r="18">
      <c r="A18">
        <v>45988.625</v>
      </c>
      <c r="B18">
        <v>0</v>
      </c>
    </row>
    <row r="19">
      <c r="A19">
        <v>45988.666666666701</v>
      </c>
      <c r="B19">
        <v>0</v>
      </c>
    </row>
    <row r="20">
      <c r="A20">
        <v>45988.708333333299</v>
      </c>
      <c r="B20">
        <v>0</v>
      </c>
    </row>
    <row r="21">
      <c r="A21">
        <v>45988.75</v>
      </c>
      <c r="B21">
        <v>0</v>
      </c>
    </row>
    <row r="22">
      <c r="A22">
        <v>45988.791666666701</v>
      </c>
      <c r="B22">
        <v>0</v>
      </c>
    </row>
    <row r="23">
      <c r="A23">
        <v>45988.833333333299</v>
      </c>
      <c r="B23">
        <v>0</v>
      </c>
    </row>
    <row r="24">
      <c r="A24">
        <v>45988.875</v>
      </c>
      <c r="B24">
        <v>0</v>
      </c>
    </row>
    <row r="25">
      <c r="A25">
        <v>45988.916666666701</v>
      </c>
      <c r="B25">
        <v>0</v>
      </c>
    </row>
    <row r="26">
      <c r="A26">
        <v>45988.958333333299</v>
      </c>
      <c r="B26">
        <v>0</v>
      </c>
    </row>
  </sheetData>
  <mergeCells count="1">
    <mergeCell ref="A1:G1"/>
  </mergeCells>
  <pageSetup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5" ht="18.75">
      <c r="A5" s="23" t="inlineStr">
        <is>
          <t>This document was generated using a trial version of DevExpress libraries and can only be used for evaluation purposes.</t>
        </is>
      </c>
    </row>
    <row r="6" ht="18.75">
      <c r="A6" s="23" t="inlineStr">
        <is>
          <t>Please purchase a license to continue use of DevExpress product libraries (v25.1.3.0)</t>
        </is>
      </c>
    </row>
  </sheetData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SheetRoot xmlns:xsd="http://www.w3.org/2001/XMLSchema" xmlns:xsi="http://www.w3.org/2001/XMLSchema-instance">
  <SerializedSources/>
  <SerializedParameters/>
  <Configuration>
    <Name>SheetConfiguration</Name>
    <HiddenComment>false</HiddenComment>
    <AutoFitDataSource>false</AutoFitDataSource>
    <WrapText>false</WrapText>
    <State>NotLoggedIn</State>
    <WorksheetsHeaderFooter>
      <WorksheetHeaderFooter>
        <WorksheetName>DailyEnergy</WorksheetName>
        <FirstLeftHeader/>
        <FirstCenterHeader/>
        <FirstRightHeader/>
        <FirstLeftFooter/>
        <FirstCenterFooter/>
        <FirstRightFooter/>
        <LeftHeader/>
        <CenterHeader/>
        <RightHeader/>
        <LeftFooter/>
        <CenterFooter/>
        <RightFooter/>
        <EvenLeftHeader/>
        <EvenCenterHeader/>
        <EvenRightHeader/>
        <EvenLeftFooter/>
        <EvenCenterFooter/>
        <EvenRightFooter/>
      </WorksheetHeaderFooter>
      <WorksheetHeaderFooter>
        <WorksheetName>data</WorksheetName>
        <FirstLeftHeader/>
        <FirstCenterHeader/>
        <FirstRightHeader/>
        <FirstLeftFooter/>
        <FirstCenterFooter/>
        <FirstRightFooter/>
        <LeftHeader/>
        <CenterHeader/>
        <RightHeader/>
        <LeftFooter/>
        <CenterFooter/>
        <RightFooter/>
        <EvenLeftHeader/>
        <EvenCenterHeader/>
        <EvenRightHeader/>
        <EvenLeftFooter/>
        <EvenCenterFooter/>
        <EvenRightFooter/>
      </WorksheetHeaderFooter>
    </WorksheetsHeaderFooter>
    <SoftwareExecutionVersion>Unknown</SoftwareExecutionVersion>
    <SoftwareCreationVersion>Unknown</SoftwareCreationVersion>
    <SoftwareLatestChangeVersion>v10_97_2</SoftwareLatestChangeVersion>
  </Configuration>
</SheetRoot>
</file>

<file path=customXml/itemProps1.xml><?xml version="1.0" encoding="utf-8"?>
<ds:datastoreItem xmlns:ds="http://schemas.openxmlformats.org/officeDocument/2006/customXml" ds:itemID="{E6541643-DA38-4FE9-AD85-B7782B2950D5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DESKTOP-PMD8PRQ\ThinkPad</cp:lastModifiedBy>
  <dcterms:created xsi:type="dcterms:W3CDTF">2015-06-05T18:17:20Z</dcterms:created>
  <dcterms:modified xsi:type="dcterms:W3CDTF">2025-11-27T13:45:32Z</dcterms:modified>
</cp:coreProperties>
</file>